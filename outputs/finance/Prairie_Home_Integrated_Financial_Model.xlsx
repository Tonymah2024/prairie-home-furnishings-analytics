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private/var/folders/wp/pbrm3zgn7r3dy_6rz34_hr880000gn/T/phf_xl_bax94mzj/"/>
    </mc:Choice>
  </mc:AlternateContent>
  <xr:revisionPtr revIDLastSave="0" documentId="13_ncr:1_{F1208044-11AE-1940-B035-A9A58CB453D5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README" sheetId="1" r:id="rId1"/>
    <sheet name="Assumptions" sheetId="2" r:id="rId2"/>
    <sheet name="Drivers" sheetId="3" r:id="rId3"/>
    <sheet name="Forecast" sheetId="4" r:id="rId4"/>
    <sheet name="Scenario_Results" sheetId="5" r:id="rId5"/>
    <sheet name="Checks" sheetId="6" r:id="rId6"/>
    <sheet name="Hist_IS" sheetId="7" r:id="rId7"/>
    <sheet name="Hist_BS" sheetId="8" r:id="rId8"/>
    <sheet name="Hist_CF" sheetId="9" r:id="rId9"/>
    <sheet name="Hist_Bal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6" i="10" l="1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L24" i="9"/>
  <c r="AK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AJ24" i="9" s="1"/>
  <c r="M24" i="9"/>
  <c r="L24" i="9"/>
  <c r="K24" i="9"/>
  <c r="J24" i="9"/>
  <c r="I24" i="9"/>
  <c r="H24" i="9"/>
  <c r="G24" i="9"/>
  <c r="F24" i="9"/>
  <c r="E24" i="9"/>
  <c r="D24" i="9"/>
  <c r="C24" i="9"/>
  <c r="AJ22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L19" i="9"/>
  <c r="AK19" i="9"/>
  <c r="AJ19" i="9"/>
  <c r="AL18" i="9"/>
  <c r="AK18" i="9"/>
  <c r="AJ18" i="9"/>
  <c r="AL17" i="9"/>
  <c r="AK17" i="9"/>
  <c r="AJ17" i="9"/>
  <c r="AL16" i="9"/>
  <c r="AK16" i="9"/>
  <c r="AJ16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L14" i="9"/>
  <c r="AK14" i="9"/>
  <c r="AJ14" i="9"/>
  <c r="AI13" i="9"/>
  <c r="AH13" i="9"/>
  <c r="AG13" i="9"/>
  <c r="AG21" i="9" s="1"/>
  <c r="AF13" i="9"/>
  <c r="AF21" i="9" s="1"/>
  <c r="AE13" i="9"/>
  <c r="AE21" i="9" s="1"/>
  <c r="AD13" i="9"/>
  <c r="AC13" i="9"/>
  <c r="AB13" i="9"/>
  <c r="AA13" i="9"/>
  <c r="Z13" i="9"/>
  <c r="Y13" i="9"/>
  <c r="X13" i="9"/>
  <c r="W13" i="9"/>
  <c r="V13" i="9"/>
  <c r="U13" i="9"/>
  <c r="U21" i="9" s="1"/>
  <c r="T13" i="9"/>
  <c r="T21" i="9" s="1"/>
  <c r="S13" i="9"/>
  <c r="S21" i="9" s="1"/>
  <c r="R13" i="9"/>
  <c r="Q13" i="9"/>
  <c r="P13" i="9"/>
  <c r="O13" i="9"/>
  <c r="N13" i="9"/>
  <c r="M13" i="9"/>
  <c r="L13" i="9"/>
  <c r="K13" i="9"/>
  <c r="J13" i="9"/>
  <c r="I13" i="9"/>
  <c r="I21" i="9" s="1"/>
  <c r="H13" i="9"/>
  <c r="H21" i="9" s="1"/>
  <c r="G13" i="9"/>
  <c r="G21" i="9" s="1"/>
  <c r="F13" i="9"/>
  <c r="E13" i="9"/>
  <c r="D13" i="9"/>
  <c r="C13" i="9"/>
  <c r="AL12" i="9"/>
  <c r="AK12" i="9"/>
  <c r="AJ12" i="9"/>
  <c r="AL11" i="9"/>
  <c r="AK11" i="9"/>
  <c r="AJ11" i="9"/>
  <c r="AL10" i="9"/>
  <c r="AK10" i="9"/>
  <c r="AJ10" i="9"/>
  <c r="AL9" i="9"/>
  <c r="AK9" i="9"/>
  <c r="AJ9" i="9"/>
  <c r="AL8" i="9"/>
  <c r="AK8" i="9"/>
  <c r="AJ8" i="9"/>
  <c r="AL7" i="9"/>
  <c r="AK7" i="9"/>
  <c r="AJ7" i="9"/>
  <c r="AL6" i="9"/>
  <c r="AK6" i="9"/>
  <c r="AJ6" i="9"/>
  <c r="AI31" i="8"/>
  <c r="AL31" i="8" s="1"/>
  <c r="AH31" i="8"/>
  <c r="AG31" i="8"/>
  <c r="AF31" i="8"/>
  <c r="AE31" i="8"/>
  <c r="AD31" i="8"/>
  <c r="AC31" i="8"/>
  <c r="AB31" i="8"/>
  <c r="AA31" i="8"/>
  <c r="Z31" i="8"/>
  <c r="AK31" i="8" s="1"/>
  <c r="Y31" i="8"/>
  <c r="X31" i="8"/>
  <c r="W31" i="8"/>
  <c r="V31" i="8"/>
  <c r="U31" i="8"/>
  <c r="T31" i="8"/>
  <c r="S31" i="8"/>
  <c r="R31" i="8"/>
  <c r="Q31" i="8"/>
  <c r="P31" i="8"/>
  <c r="O31" i="8"/>
  <c r="N31" i="8"/>
  <c r="AJ31" i="8" s="1"/>
  <c r="M31" i="8"/>
  <c r="L31" i="8"/>
  <c r="K31" i="8"/>
  <c r="J31" i="8"/>
  <c r="I31" i="8"/>
  <c r="H31" i="8"/>
  <c r="G31" i="8"/>
  <c r="F31" i="8"/>
  <c r="E31" i="8"/>
  <c r="D31" i="8"/>
  <c r="C31" i="8"/>
  <c r="AL30" i="8"/>
  <c r="AK30" i="8"/>
  <c r="AJ30" i="8"/>
  <c r="AL29" i="8"/>
  <c r="AK29" i="8"/>
  <c r="AJ29" i="8"/>
  <c r="AL28" i="8"/>
  <c r="AK28" i="8"/>
  <c r="AJ28" i="8"/>
  <c r="AG27" i="8"/>
  <c r="AG32" i="8" s="1"/>
  <c r="Y27" i="8"/>
  <c r="Y32" i="8" s="1"/>
  <c r="U27" i="8"/>
  <c r="U32" i="8" s="1"/>
  <c r="M27" i="8"/>
  <c r="M32" i="8" s="1"/>
  <c r="K27" i="8"/>
  <c r="K32" i="8" s="1"/>
  <c r="I27" i="8"/>
  <c r="I32" i="8" s="1"/>
  <c r="AL26" i="8"/>
  <c r="AK26" i="8"/>
  <c r="AJ26" i="8"/>
  <c r="AJ25" i="8"/>
  <c r="AI25" i="8"/>
  <c r="AL25" i="8" s="1"/>
  <c r="AH25" i="8"/>
  <c r="AH27" i="8" s="1"/>
  <c r="AH32" i="8" s="1"/>
  <c r="AG25" i="8"/>
  <c r="AF25" i="8"/>
  <c r="AF27" i="8" s="1"/>
  <c r="AF32" i="8" s="1"/>
  <c r="AE25" i="8"/>
  <c r="AE27" i="8" s="1"/>
  <c r="AD25" i="8"/>
  <c r="AD27" i="8" s="1"/>
  <c r="AD32" i="8" s="1"/>
  <c r="AC25" i="8"/>
  <c r="AC27" i="8" s="1"/>
  <c r="AC32" i="8" s="1"/>
  <c r="AB25" i="8"/>
  <c r="AB27" i="8" s="1"/>
  <c r="AA25" i="8"/>
  <c r="AA27" i="8" s="1"/>
  <c r="Z25" i="8"/>
  <c r="Z27" i="8" s="1"/>
  <c r="Y25" i="8"/>
  <c r="X25" i="8"/>
  <c r="X27" i="8" s="1"/>
  <c r="X32" i="8" s="1"/>
  <c r="W25" i="8"/>
  <c r="W27" i="8" s="1"/>
  <c r="W32" i="8" s="1"/>
  <c r="V25" i="8"/>
  <c r="V27" i="8" s="1"/>
  <c r="V32" i="8" s="1"/>
  <c r="U25" i="8"/>
  <c r="T25" i="8"/>
  <c r="T27" i="8" s="1"/>
  <c r="T32" i="8" s="1"/>
  <c r="S25" i="8"/>
  <c r="S27" i="8" s="1"/>
  <c r="R25" i="8"/>
  <c r="R27" i="8" s="1"/>
  <c r="R32" i="8" s="1"/>
  <c r="Q25" i="8"/>
  <c r="Q27" i="8" s="1"/>
  <c r="Q32" i="8" s="1"/>
  <c r="P25" i="8"/>
  <c r="P27" i="8" s="1"/>
  <c r="O25" i="8"/>
  <c r="O27" i="8" s="1"/>
  <c r="N25" i="8"/>
  <c r="N27" i="8" s="1"/>
  <c r="M25" i="8"/>
  <c r="L25" i="8"/>
  <c r="L27" i="8" s="1"/>
  <c r="L32" i="8" s="1"/>
  <c r="K25" i="8"/>
  <c r="J25" i="8"/>
  <c r="J27" i="8" s="1"/>
  <c r="J32" i="8" s="1"/>
  <c r="I25" i="8"/>
  <c r="H25" i="8"/>
  <c r="H27" i="8" s="1"/>
  <c r="H32" i="8" s="1"/>
  <c r="G25" i="8"/>
  <c r="G27" i="8" s="1"/>
  <c r="F25" i="8"/>
  <c r="F27" i="8" s="1"/>
  <c r="F32" i="8" s="1"/>
  <c r="E25" i="8"/>
  <c r="E27" i="8" s="1"/>
  <c r="E32" i="8" s="1"/>
  <c r="D25" i="8"/>
  <c r="D27" i="8" s="1"/>
  <c r="C25" i="8"/>
  <c r="C27" i="8" s="1"/>
  <c r="AL24" i="8"/>
  <c r="AK24" i="8"/>
  <c r="AJ24" i="8"/>
  <c r="AL23" i="8"/>
  <c r="AK23" i="8"/>
  <c r="AJ23" i="8"/>
  <c r="AL22" i="8"/>
  <c r="AK22" i="8"/>
  <c r="AJ22" i="8"/>
  <c r="AL21" i="8"/>
  <c r="AK21" i="8"/>
  <c r="AJ21" i="8"/>
  <c r="AL20" i="8"/>
  <c r="AK20" i="8"/>
  <c r="AJ20" i="8"/>
  <c r="AL19" i="8"/>
  <c r="AK19" i="8"/>
  <c r="AJ19" i="8"/>
  <c r="AL18" i="8"/>
  <c r="AK18" i="8"/>
  <c r="AJ18" i="8"/>
  <c r="AL17" i="8"/>
  <c r="AK17" i="8"/>
  <c r="AJ17" i="8"/>
  <c r="AI15" i="8"/>
  <c r="AH15" i="8"/>
  <c r="AG15" i="8"/>
  <c r="AG16" i="8" s="1"/>
  <c r="AG33" i="8" s="1"/>
  <c r="AF15" i="8"/>
  <c r="AE15" i="8"/>
  <c r="AD15" i="8"/>
  <c r="AC15" i="8"/>
  <c r="AB15" i="8"/>
  <c r="AB16" i="8" s="1"/>
  <c r="AA15" i="8"/>
  <c r="Z15" i="8"/>
  <c r="Y15" i="8"/>
  <c r="X15" i="8"/>
  <c r="X16" i="8" s="1"/>
  <c r="W15" i="8"/>
  <c r="V15" i="8"/>
  <c r="U15" i="8"/>
  <c r="U16" i="8" s="1"/>
  <c r="U33" i="8" s="1"/>
  <c r="T15" i="8"/>
  <c r="S15" i="8"/>
  <c r="R15" i="8"/>
  <c r="Q15" i="8"/>
  <c r="P15" i="8"/>
  <c r="P16" i="8" s="1"/>
  <c r="O15" i="8"/>
  <c r="N15" i="8"/>
  <c r="AJ15" i="8" s="1"/>
  <c r="M15" i="8"/>
  <c r="L15" i="8"/>
  <c r="L16" i="8" s="1"/>
  <c r="K15" i="8"/>
  <c r="J15" i="8"/>
  <c r="I15" i="8"/>
  <c r="I16" i="8" s="1"/>
  <c r="H15" i="8"/>
  <c r="G15" i="8"/>
  <c r="F15" i="8"/>
  <c r="E15" i="8"/>
  <c r="D15" i="8"/>
  <c r="D16" i="8" s="1"/>
  <c r="C15" i="8"/>
  <c r="AL14" i="8"/>
  <c r="AK14" i="8"/>
  <c r="AJ14" i="8"/>
  <c r="AL13" i="8"/>
  <c r="AK13" i="8"/>
  <c r="AJ13" i="8"/>
  <c r="AI12" i="8"/>
  <c r="AL12" i="8" s="1"/>
  <c r="AH12" i="8"/>
  <c r="AG12" i="8"/>
  <c r="AF12" i="8"/>
  <c r="AF16" i="8" s="1"/>
  <c r="AE12" i="8"/>
  <c r="AD12" i="8"/>
  <c r="AD16" i="8" s="1"/>
  <c r="AC12" i="8"/>
  <c r="AB12" i="8"/>
  <c r="AA12" i="8"/>
  <c r="Z12" i="8"/>
  <c r="AK12" i="8" s="1"/>
  <c r="Y12" i="8"/>
  <c r="X12" i="8"/>
  <c r="W12" i="8"/>
  <c r="V12" i="8"/>
  <c r="U12" i="8"/>
  <c r="T12" i="8"/>
  <c r="T16" i="8" s="1"/>
  <c r="S12" i="8"/>
  <c r="R12" i="8"/>
  <c r="R16" i="8" s="1"/>
  <c r="Q12" i="8"/>
  <c r="P12" i="8"/>
  <c r="O12" i="8"/>
  <c r="N12" i="8"/>
  <c r="AJ12" i="8" s="1"/>
  <c r="M12" i="8"/>
  <c r="L12" i="8"/>
  <c r="K12" i="8"/>
  <c r="J12" i="8"/>
  <c r="I12" i="8"/>
  <c r="H12" i="8"/>
  <c r="H16" i="8" s="1"/>
  <c r="G12" i="8"/>
  <c r="F12" i="8"/>
  <c r="F16" i="8" s="1"/>
  <c r="E12" i="8"/>
  <c r="D12" i="8"/>
  <c r="C12" i="8"/>
  <c r="AL11" i="8"/>
  <c r="AK11" i="8"/>
  <c r="AJ11" i="8"/>
  <c r="AL10" i="8"/>
  <c r="AK10" i="8"/>
  <c r="AJ10" i="8"/>
  <c r="AL9" i="8"/>
  <c r="AK9" i="8"/>
  <c r="AJ9" i="8"/>
  <c r="AL8" i="8"/>
  <c r="AK8" i="8"/>
  <c r="AJ8" i="8"/>
  <c r="AL7" i="8"/>
  <c r="AK7" i="8"/>
  <c r="AJ7" i="8"/>
  <c r="AL6" i="8"/>
  <c r="AK6" i="8"/>
  <c r="AJ6" i="8"/>
  <c r="AL38" i="7"/>
  <c r="AK38" i="7"/>
  <c r="AJ38" i="7"/>
  <c r="AL36" i="7"/>
  <c r="AK36" i="7"/>
  <c r="AJ36" i="7"/>
  <c r="AL34" i="7"/>
  <c r="AK34" i="7"/>
  <c r="AJ34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L31" i="7"/>
  <c r="AK31" i="7"/>
  <c r="AJ31" i="7"/>
  <c r="AL30" i="7"/>
  <c r="AK30" i="7"/>
  <c r="AJ30" i="7"/>
  <c r="AL29" i="7"/>
  <c r="AK29" i="7"/>
  <c r="AJ29" i="7"/>
  <c r="AL28" i="7"/>
  <c r="AK28" i="7"/>
  <c r="AJ28" i="7"/>
  <c r="AL27" i="7"/>
  <c r="AK27" i="7"/>
  <c r="AJ27" i="7"/>
  <c r="AL26" i="7"/>
  <c r="AK26" i="7"/>
  <c r="AJ26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L23" i="7"/>
  <c r="AK23" i="7"/>
  <c r="AJ23" i="7"/>
  <c r="AL22" i="7"/>
  <c r="AK22" i="7"/>
  <c r="AJ22" i="7"/>
  <c r="AL21" i="7"/>
  <c r="AK21" i="7"/>
  <c r="AJ21" i="7"/>
  <c r="AL19" i="7"/>
  <c r="AK19" i="7"/>
  <c r="AJ19" i="7"/>
  <c r="AL18" i="7"/>
  <c r="AK18" i="7"/>
  <c r="AJ18" i="7"/>
  <c r="AL17" i="7"/>
  <c r="AK17" i="7"/>
  <c r="AJ17" i="7"/>
  <c r="AI16" i="7"/>
  <c r="AI20" i="7" s="1"/>
  <c r="AI25" i="7" s="1"/>
  <c r="AH16" i="7"/>
  <c r="AH20" i="7" s="1"/>
  <c r="AH25" i="7" s="1"/>
  <c r="AH33" i="7" s="1"/>
  <c r="AH35" i="7" s="1"/>
  <c r="AH37" i="7" s="1"/>
  <c r="AH39" i="7" s="1"/>
  <c r="W16" i="7"/>
  <c r="W20" i="7" s="1"/>
  <c r="W25" i="7" s="1"/>
  <c r="V16" i="7"/>
  <c r="V20" i="7" s="1"/>
  <c r="V25" i="7" s="1"/>
  <c r="V33" i="7" s="1"/>
  <c r="V35" i="7" s="1"/>
  <c r="V37" i="7" s="1"/>
  <c r="V39" i="7" s="1"/>
  <c r="U16" i="7"/>
  <c r="U20" i="7" s="1"/>
  <c r="U25" i="7" s="1"/>
  <c r="U33" i="7" s="1"/>
  <c r="U35" i="7" s="1"/>
  <c r="U37" i="7" s="1"/>
  <c r="U39" i="7" s="1"/>
  <c r="K16" i="7"/>
  <c r="K20" i="7" s="1"/>
  <c r="K25" i="7" s="1"/>
  <c r="J16" i="7"/>
  <c r="J20" i="7" s="1"/>
  <c r="J25" i="7" s="1"/>
  <c r="J33" i="7" s="1"/>
  <c r="J35" i="7" s="1"/>
  <c r="J37" i="7" s="1"/>
  <c r="J39" i="7" s="1"/>
  <c r="AL15" i="7"/>
  <c r="AK15" i="7"/>
  <c r="AJ15" i="7"/>
  <c r="AL14" i="7"/>
  <c r="AK14" i="7"/>
  <c r="AJ14" i="7"/>
  <c r="AI13" i="7"/>
  <c r="AH13" i="7"/>
  <c r="AG13" i="7"/>
  <c r="AG16" i="7" s="1"/>
  <c r="AG20" i="7" s="1"/>
  <c r="AG25" i="7" s="1"/>
  <c r="AG33" i="7" s="1"/>
  <c r="AG35" i="7" s="1"/>
  <c r="AG37" i="7" s="1"/>
  <c r="AG39" i="7" s="1"/>
  <c r="AF13" i="7"/>
  <c r="AF16" i="7" s="1"/>
  <c r="AF20" i="7" s="1"/>
  <c r="AF25" i="7" s="1"/>
  <c r="AF33" i="7" s="1"/>
  <c r="AF35" i="7" s="1"/>
  <c r="AF37" i="7" s="1"/>
  <c r="AF39" i="7" s="1"/>
  <c r="AE13" i="7"/>
  <c r="AE16" i="7" s="1"/>
  <c r="AE20" i="7" s="1"/>
  <c r="AE25" i="7" s="1"/>
  <c r="AE33" i="7" s="1"/>
  <c r="AE35" i="7" s="1"/>
  <c r="AE37" i="7" s="1"/>
  <c r="AE39" i="7" s="1"/>
  <c r="AD13" i="7"/>
  <c r="AD16" i="7" s="1"/>
  <c r="AD20" i="7" s="1"/>
  <c r="AD25" i="7" s="1"/>
  <c r="AD33" i="7" s="1"/>
  <c r="AD35" i="7" s="1"/>
  <c r="AD37" i="7" s="1"/>
  <c r="AD39" i="7" s="1"/>
  <c r="AC13" i="7"/>
  <c r="AC16" i="7" s="1"/>
  <c r="AC20" i="7" s="1"/>
  <c r="AB13" i="7"/>
  <c r="AB16" i="7" s="1"/>
  <c r="AB20" i="7" s="1"/>
  <c r="AA13" i="7"/>
  <c r="Z13" i="7"/>
  <c r="Z16" i="7" s="1"/>
  <c r="Z20" i="7" s="1"/>
  <c r="Z25" i="7" s="1"/>
  <c r="Z33" i="7" s="1"/>
  <c r="Z35" i="7" s="1"/>
  <c r="Z37" i="7" s="1"/>
  <c r="Z39" i="7" s="1"/>
  <c r="Y13" i="7"/>
  <c r="Y16" i="7" s="1"/>
  <c r="Y20" i="7" s="1"/>
  <c r="Y25" i="7" s="1"/>
  <c r="Y33" i="7" s="1"/>
  <c r="Y35" i="7" s="1"/>
  <c r="Y37" i="7" s="1"/>
  <c r="Y39" i="7" s="1"/>
  <c r="X13" i="7"/>
  <c r="X16" i="7" s="1"/>
  <c r="X20" i="7" s="1"/>
  <c r="W13" i="7"/>
  <c r="V13" i="7"/>
  <c r="U13" i="7"/>
  <c r="T13" i="7"/>
  <c r="T16" i="7" s="1"/>
  <c r="T20" i="7" s="1"/>
  <c r="T25" i="7" s="1"/>
  <c r="T33" i="7" s="1"/>
  <c r="T35" i="7" s="1"/>
  <c r="T37" i="7" s="1"/>
  <c r="T39" i="7" s="1"/>
  <c r="S13" i="7"/>
  <c r="S16" i="7" s="1"/>
  <c r="S20" i="7" s="1"/>
  <c r="S25" i="7" s="1"/>
  <c r="S33" i="7" s="1"/>
  <c r="S35" i="7" s="1"/>
  <c r="S37" i="7" s="1"/>
  <c r="S39" i="7" s="1"/>
  <c r="R13" i="7"/>
  <c r="R16" i="7" s="1"/>
  <c r="R20" i="7" s="1"/>
  <c r="R25" i="7" s="1"/>
  <c r="R33" i="7" s="1"/>
  <c r="R35" i="7" s="1"/>
  <c r="R37" i="7" s="1"/>
  <c r="R39" i="7" s="1"/>
  <c r="Q13" i="7"/>
  <c r="Q16" i="7" s="1"/>
  <c r="Q20" i="7" s="1"/>
  <c r="P13" i="7"/>
  <c r="P16" i="7" s="1"/>
  <c r="P20" i="7" s="1"/>
  <c r="O13" i="7"/>
  <c r="N13" i="7"/>
  <c r="N16" i="7" s="1"/>
  <c r="N20" i="7" s="1"/>
  <c r="N25" i="7" s="1"/>
  <c r="N33" i="7" s="1"/>
  <c r="N35" i="7" s="1"/>
  <c r="N37" i="7" s="1"/>
  <c r="N39" i="7" s="1"/>
  <c r="M13" i="7"/>
  <c r="M16" i="7" s="1"/>
  <c r="M20" i="7" s="1"/>
  <c r="M25" i="7" s="1"/>
  <c r="M33" i="7" s="1"/>
  <c r="M35" i="7" s="1"/>
  <c r="M37" i="7" s="1"/>
  <c r="M39" i="7" s="1"/>
  <c r="L13" i="7"/>
  <c r="L16" i="7" s="1"/>
  <c r="L20" i="7" s="1"/>
  <c r="K13" i="7"/>
  <c r="J13" i="7"/>
  <c r="I13" i="7"/>
  <c r="I16" i="7" s="1"/>
  <c r="I20" i="7" s="1"/>
  <c r="I25" i="7" s="1"/>
  <c r="I33" i="7" s="1"/>
  <c r="I35" i="7" s="1"/>
  <c r="I37" i="7" s="1"/>
  <c r="I39" i="7" s="1"/>
  <c r="H13" i="7"/>
  <c r="H16" i="7" s="1"/>
  <c r="H20" i="7" s="1"/>
  <c r="H25" i="7" s="1"/>
  <c r="H33" i="7" s="1"/>
  <c r="H35" i="7" s="1"/>
  <c r="H37" i="7" s="1"/>
  <c r="H39" i="7" s="1"/>
  <c r="G13" i="7"/>
  <c r="G16" i="7" s="1"/>
  <c r="G20" i="7" s="1"/>
  <c r="G25" i="7" s="1"/>
  <c r="G33" i="7" s="1"/>
  <c r="G35" i="7" s="1"/>
  <c r="G37" i="7" s="1"/>
  <c r="G39" i="7" s="1"/>
  <c r="F13" i="7"/>
  <c r="F16" i="7" s="1"/>
  <c r="F20" i="7" s="1"/>
  <c r="F25" i="7" s="1"/>
  <c r="F33" i="7" s="1"/>
  <c r="F35" i="7" s="1"/>
  <c r="F37" i="7" s="1"/>
  <c r="F39" i="7" s="1"/>
  <c r="E13" i="7"/>
  <c r="E16" i="7" s="1"/>
  <c r="E20" i="7" s="1"/>
  <c r="D13" i="7"/>
  <c r="D16" i="7" s="1"/>
  <c r="D20" i="7" s="1"/>
  <c r="C13" i="7"/>
  <c r="AL12" i="7"/>
  <c r="AK12" i="7"/>
  <c r="AJ12" i="7"/>
  <c r="AL11" i="7"/>
  <c r="AK11" i="7"/>
  <c r="AJ11" i="7"/>
  <c r="AL10" i="7"/>
  <c r="AK10" i="7"/>
  <c r="AJ10" i="7"/>
  <c r="AL9" i="7"/>
  <c r="AK9" i="7"/>
  <c r="AJ9" i="7"/>
  <c r="AL8" i="7"/>
  <c r="AK8" i="7"/>
  <c r="AJ8" i="7"/>
  <c r="AL7" i="7"/>
  <c r="AK7" i="7"/>
  <c r="AJ7" i="7"/>
  <c r="AL6" i="7"/>
  <c r="AK6" i="7"/>
  <c r="AJ6" i="7"/>
  <c r="B6" i="6"/>
  <c r="C6" i="6" s="1"/>
  <c r="O111" i="4"/>
  <c r="N111" i="4"/>
  <c r="M111" i="4"/>
  <c r="L111" i="4"/>
  <c r="K111" i="4"/>
  <c r="J111" i="4"/>
  <c r="H111" i="4"/>
  <c r="G111" i="4"/>
  <c r="F111" i="4"/>
  <c r="E111" i="4"/>
  <c r="D111" i="4"/>
  <c r="I110" i="4"/>
  <c r="J110" i="4" s="1"/>
  <c r="K110" i="4" s="1"/>
  <c r="L110" i="4" s="1"/>
  <c r="M110" i="4" s="1"/>
  <c r="N110" i="4" s="1"/>
  <c r="O110" i="4" s="1"/>
  <c r="D110" i="4"/>
  <c r="E110" i="4" s="1"/>
  <c r="F110" i="4" s="1"/>
  <c r="C109" i="4"/>
  <c r="F108" i="4"/>
  <c r="E108" i="4"/>
  <c r="D108" i="4"/>
  <c r="C104" i="4"/>
  <c r="O101" i="4"/>
  <c r="N101" i="4"/>
  <c r="L101" i="4"/>
  <c r="K101" i="4"/>
  <c r="I101" i="4"/>
  <c r="H101" i="4"/>
  <c r="F101" i="4"/>
  <c r="E101" i="4"/>
  <c r="C100" i="4"/>
  <c r="I97" i="4"/>
  <c r="J97" i="4" s="1"/>
  <c r="D97" i="4"/>
  <c r="E97" i="4" s="1"/>
  <c r="F97" i="4" s="1"/>
  <c r="G97" i="4" s="1"/>
  <c r="H97" i="4" s="1"/>
  <c r="D73" i="4"/>
  <c r="O72" i="4"/>
  <c r="N72" i="4"/>
  <c r="M72" i="4"/>
  <c r="L72" i="4"/>
  <c r="K72" i="4"/>
  <c r="J72" i="4"/>
  <c r="I72" i="4"/>
  <c r="H72" i="4"/>
  <c r="G72" i="4"/>
  <c r="F72" i="4"/>
  <c r="E72" i="4"/>
  <c r="D72" i="4"/>
  <c r="H65" i="4"/>
  <c r="C60" i="4"/>
  <c r="F59" i="4"/>
  <c r="C59" i="4"/>
  <c r="C58" i="4"/>
  <c r="D57" i="4"/>
  <c r="C57" i="4"/>
  <c r="C55" i="4"/>
  <c r="C54" i="4"/>
  <c r="C53" i="4"/>
  <c r="C52" i="4"/>
  <c r="C51" i="4"/>
  <c r="C50" i="4"/>
  <c r="C49" i="4"/>
  <c r="C48" i="4"/>
  <c r="C47" i="4"/>
  <c r="C46" i="4"/>
  <c r="C44" i="4"/>
  <c r="C43" i="4"/>
  <c r="D43" i="4" s="1"/>
  <c r="E43" i="4" s="1"/>
  <c r="F43" i="4" s="1"/>
  <c r="G43" i="4" s="1"/>
  <c r="H43" i="4" s="1"/>
  <c r="I43" i="4" s="1"/>
  <c r="C42" i="4"/>
  <c r="D42" i="4" s="1"/>
  <c r="C41" i="4"/>
  <c r="C40" i="4"/>
  <c r="C39" i="4"/>
  <c r="D39" i="4" s="1"/>
  <c r="C38" i="4"/>
  <c r="C37" i="4"/>
  <c r="C36" i="4"/>
  <c r="C35" i="4"/>
  <c r="I27" i="4"/>
  <c r="I65" i="4" s="1"/>
  <c r="H27" i="4"/>
  <c r="G27" i="4"/>
  <c r="G65" i="4" s="1"/>
  <c r="F27" i="4"/>
  <c r="F65" i="4" s="1"/>
  <c r="E27" i="4"/>
  <c r="E65" i="4" s="1"/>
  <c r="D27" i="4"/>
  <c r="D65" i="4" s="1"/>
  <c r="O20" i="4"/>
  <c r="N20" i="4"/>
  <c r="M20" i="4"/>
  <c r="L20" i="4"/>
  <c r="K20" i="4"/>
  <c r="J20" i="4"/>
  <c r="I20" i="4"/>
  <c r="H20" i="4"/>
  <c r="G20" i="4"/>
  <c r="F20" i="4"/>
  <c r="E20" i="4"/>
  <c r="D20" i="4"/>
  <c r="H16" i="2"/>
  <c r="D29" i="4" s="1"/>
  <c r="H15" i="2"/>
  <c r="H14" i="2"/>
  <c r="K23" i="4" s="1"/>
  <c r="H13" i="2"/>
  <c r="H12" i="2"/>
  <c r="H11" i="2"/>
  <c r="H10" i="2"/>
  <c r="H9" i="2"/>
  <c r="H8" i="2"/>
  <c r="K33" i="7" l="1"/>
  <c r="K35" i="7" s="1"/>
  <c r="K37" i="7" s="1"/>
  <c r="K39" i="7" s="1"/>
  <c r="AI33" i="7"/>
  <c r="AI35" i="7" s="1"/>
  <c r="AI37" i="7" s="1"/>
  <c r="AI39" i="7" s="1"/>
  <c r="AJ32" i="7"/>
  <c r="AK32" i="7"/>
  <c r="C16" i="8"/>
  <c r="O16" i="8"/>
  <c r="O33" i="8" s="1"/>
  <c r="AA16" i="8"/>
  <c r="K16" i="8"/>
  <c r="K33" i="8" s="1"/>
  <c r="W16" i="8"/>
  <c r="W33" i="8" s="1"/>
  <c r="AI16" i="8"/>
  <c r="C45" i="4" s="1"/>
  <c r="AI27" i="8"/>
  <c r="AJ20" i="9"/>
  <c r="J21" i="9"/>
  <c r="V21" i="9"/>
  <c r="AH21" i="9"/>
  <c r="L25" i="7"/>
  <c r="L33" i="7" s="1"/>
  <c r="L35" i="7" s="1"/>
  <c r="L37" i="7" s="1"/>
  <c r="L39" i="7" s="1"/>
  <c r="X25" i="7"/>
  <c r="X33" i="7" s="1"/>
  <c r="X35" i="7" s="1"/>
  <c r="X37" i="7" s="1"/>
  <c r="X39" i="7" s="1"/>
  <c r="E16" i="8"/>
  <c r="E33" i="8" s="1"/>
  <c r="Q16" i="8"/>
  <c r="Q33" i="8" s="1"/>
  <c r="AC16" i="8"/>
  <c r="AC33" i="8" s="1"/>
  <c r="M16" i="8"/>
  <c r="M33" i="8" s="1"/>
  <c r="Y16" i="8"/>
  <c r="Y33" i="8" s="1"/>
  <c r="AL15" i="8"/>
  <c r="K21" i="9"/>
  <c r="W21" i="9"/>
  <c r="AI21" i="9"/>
  <c r="F33" i="8"/>
  <c r="N16" i="8"/>
  <c r="AJ16" i="8" s="1"/>
  <c r="Z16" i="8"/>
  <c r="C32" i="8"/>
  <c r="O32" i="8"/>
  <c r="AA32" i="8"/>
  <c r="L21" i="9"/>
  <c r="X21" i="9"/>
  <c r="G16" i="8"/>
  <c r="G33" i="8" s="1"/>
  <c r="S16" i="8"/>
  <c r="AE16" i="8"/>
  <c r="D32" i="8"/>
  <c r="P32" i="8"/>
  <c r="AB32" i="8"/>
  <c r="M21" i="9"/>
  <c r="Y21" i="9"/>
  <c r="AK20" i="9"/>
  <c r="AL20" i="9"/>
  <c r="K85" i="4"/>
  <c r="K94" i="4" s="1"/>
  <c r="W33" i="7"/>
  <c r="W35" i="7" s="1"/>
  <c r="W37" i="7" s="1"/>
  <c r="W39" i="7" s="1"/>
  <c r="H33" i="8"/>
  <c r="AF33" i="8"/>
  <c r="N21" i="9"/>
  <c r="Z21" i="9"/>
  <c r="D25" i="7"/>
  <c r="D33" i="7" s="1"/>
  <c r="D35" i="7" s="1"/>
  <c r="D37" i="7" s="1"/>
  <c r="D39" i="7" s="1"/>
  <c r="P25" i="7"/>
  <c r="P33" i="7" s="1"/>
  <c r="P35" i="7" s="1"/>
  <c r="P37" i="7" s="1"/>
  <c r="P39" i="7" s="1"/>
  <c r="AB25" i="7"/>
  <c r="AB33" i="7" s="1"/>
  <c r="AB35" i="7" s="1"/>
  <c r="AB37" i="7" s="1"/>
  <c r="AB39" i="7" s="1"/>
  <c r="AL32" i="7"/>
  <c r="AJ13" i="9"/>
  <c r="AK13" i="9"/>
  <c r="AL13" i="9"/>
  <c r="P20" i="4"/>
  <c r="E25" i="7"/>
  <c r="E33" i="7" s="1"/>
  <c r="E35" i="7" s="1"/>
  <c r="E37" i="7" s="1"/>
  <c r="E39" i="7" s="1"/>
  <c r="Q25" i="7"/>
  <c r="Q33" i="7" s="1"/>
  <c r="Q35" i="7" s="1"/>
  <c r="Q37" i="7" s="1"/>
  <c r="Q39" i="7" s="1"/>
  <c r="AC25" i="7"/>
  <c r="AC33" i="7" s="1"/>
  <c r="AC35" i="7" s="1"/>
  <c r="AC37" i="7" s="1"/>
  <c r="AC39" i="7" s="1"/>
  <c r="J16" i="8"/>
  <c r="J33" i="8" s="1"/>
  <c r="V16" i="8"/>
  <c r="V33" i="8" s="1"/>
  <c r="AH16" i="8"/>
  <c r="AH33" i="8" s="1"/>
  <c r="G32" i="8"/>
  <c r="S32" i="8"/>
  <c r="AE32" i="8"/>
  <c r="D21" i="9"/>
  <c r="P21" i="9"/>
  <c r="AB21" i="9"/>
  <c r="E21" i="9"/>
  <c r="Q21" i="9"/>
  <c r="AC21" i="9"/>
  <c r="AJ24" i="7"/>
  <c r="AK24" i="7"/>
  <c r="AL24" i="7"/>
  <c r="F21" i="9"/>
  <c r="R21" i="9"/>
  <c r="AD21" i="9"/>
  <c r="H22" i="4"/>
  <c r="E57" i="4"/>
  <c r="M23" i="4"/>
  <c r="M94" i="4"/>
  <c r="H23" i="4"/>
  <c r="I22" i="4"/>
  <c r="F23" i="4"/>
  <c r="G22" i="4"/>
  <c r="H21" i="4"/>
  <c r="E23" i="4"/>
  <c r="F22" i="4"/>
  <c r="D23" i="4"/>
  <c r="E22" i="4"/>
  <c r="F21" i="4"/>
  <c r="O23" i="4"/>
  <c r="D22" i="4"/>
  <c r="N23" i="4"/>
  <c r="O22" i="4"/>
  <c r="D21" i="4"/>
  <c r="L23" i="4"/>
  <c r="M22" i="4"/>
  <c r="J23" i="4"/>
  <c r="E39" i="4"/>
  <c r="J22" i="4"/>
  <c r="D44" i="4"/>
  <c r="N22" i="4"/>
  <c r="E42" i="4"/>
  <c r="K97" i="4"/>
  <c r="K27" i="4"/>
  <c r="K65" i="4" s="1"/>
  <c r="O85" i="4"/>
  <c r="K22" i="4"/>
  <c r="L22" i="4"/>
  <c r="L21" i="4"/>
  <c r="D90" i="4"/>
  <c r="D89" i="4"/>
  <c r="D88" i="4"/>
  <c r="D87" i="4"/>
  <c r="D86" i="4"/>
  <c r="O90" i="4"/>
  <c r="O89" i="4"/>
  <c r="O88" i="4"/>
  <c r="O87" i="4"/>
  <c r="O86" i="4"/>
  <c r="M90" i="4"/>
  <c r="M89" i="4"/>
  <c r="M88" i="4"/>
  <c r="M87" i="4"/>
  <c r="M86" i="4"/>
  <c r="J90" i="4"/>
  <c r="I90" i="4"/>
  <c r="I89" i="4"/>
  <c r="I88" i="4"/>
  <c r="I87" i="4"/>
  <c r="I86" i="4"/>
  <c r="G90" i="4"/>
  <c r="G89" i="4"/>
  <c r="G88" i="4"/>
  <c r="G87" i="4"/>
  <c r="G86" i="4"/>
  <c r="K90" i="4"/>
  <c r="L88" i="4"/>
  <c r="E87" i="4"/>
  <c r="H90" i="4"/>
  <c r="K88" i="4"/>
  <c r="N86" i="4"/>
  <c r="F90" i="4"/>
  <c r="J88" i="4"/>
  <c r="L86" i="4"/>
  <c r="E90" i="4"/>
  <c r="H88" i="4"/>
  <c r="K86" i="4"/>
  <c r="N89" i="4"/>
  <c r="F88" i="4"/>
  <c r="J86" i="4"/>
  <c r="L89" i="4"/>
  <c r="E88" i="4"/>
  <c r="H86" i="4"/>
  <c r="K89" i="4"/>
  <c r="N87" i="4"/>
  <c r="F86" i="4"/>
  <c r="L87" i="4"/>
  <c r="J89" i="4"/>
  <c r="E86" i="4"/>
  <c r="H89" i="4"/>
  <c r="K87" i="4"/>
  <c r="F89" i="4"/>
  <c r="J87" i="4"/>
  <c r="N90" i="4"/>
  <c r="E89" i="4"/>
  <c r="H87" i="4"/>
  <c r="L90" i="4"/>
  <c r="N88" i="4"/>
  <c r="F87" i="4"/>
  <c r="G23" i="4"/>
  <c r="I23" i="4"/>
  <c r="I33" i="8"/>
  <c r="L85" i="4"/>
  <c r="M85" i="4"/>
  <c r="AL16" i="8"/>
  <c r="L33" i="8"/>
  <c r="X33" i="8"/>
  <c r="AJ27" i="8"/>
  <c r="N32" i="8"/>
  <c r="AJ32" i="8" s="1"/>
  <c r="AK27" i="8"/>
  <c r="Z32" i="8"/>
  <c r="AK32" i="8" s="1"/>
  <c r="J27" i="4"/>
  <c r="J65" i="4" s="1"/>
  <c r="R33" i="8"/>
  <c r="AD33" i="8"/>
  <c r="AK16" i="8"/>
  <c r="E85" i="4"/>
  <c r="D85" i="4"/>
  <c r="E21" i="4" s="1"/>
  <c r="N85" i="4"/>
  <c r="O21" i="4" s="1"/>
  <c r="J85" i="4"/>
  <c r="K21" i="4" s="1"/>
  <c r="H85" i="4"/>
  <c r="AJ13" i="7"/>
  <c r="C16" i="7"/>
  <c r="AK13" i="7"/>
  <c r="O16" i="7"/>
  <c r="AL13" i="7"/>
  <c r="AA16" i="7"/>
  <c r="T33" i="8"/>
  <c r="D33" i="8"/>
  <c r="P33" i="8"/>
  <c r="AB33" i="8"/>
  <c r="P72" i="4"/>
  <c r="D101" i="4"/>
  <c r="D104" i="4"/>
  <c r="F85" i="4"/>
  <c r="F11" i="4" s="1"/>
  <c r="B11" i="6"/>
  <c r="C11" i="6" s="1"/>
  <c r="G85" i="4"/>
  <c r="G94" i="4" s="1"/>
  <c r="I85" i="4"/>
  <c r="J21" i="4" s="1"/>
  <c r="AJ15" i="9"/>
  <c r="AK15" i="8"/>
  <c r="AK25" i="8"/>
  <c r="AK15" i="9"/>
  <c r="AL15" i="9"/>
  <c r="C21" i="9"/>
  <c r="O21" i="9"/>
  <c r="AA21" i="9"/>
  <c r="AL21" i="9" s="1"/>
  <c r="S33" i="8" l="1"/>
  <c r="K11" i="4"/>
  <c r="D94" i="4"/>
  <c r="AI32" i="8"/>
  <c r="C56" i="4"/>
  <c r="AK21" i="9"/>
  <c r="AA33" i="8"/>
  <c r="C33" i="8"/>
  <c r="N33" i="8"/>
  <c r="AJ33" i="8" s="1"/>
  <c r="AI33" i="8"/>
  <c r="AL33" i="8" s="1"/>
  <c r="AL27" i="8"/>
  <c r="AE33" i="8"/>
  <c r="G47" i="4"/>
  <c r="G19" i="4"/>
  <c r="K8" i="4"/>
  <c r="K9" i="4" s="1"/>
  <c r="K14" i="4"/>
  <c r="K49" i="4"/>
  <c r="K12" i="4"/>
  <c r="K10" i="4"/>
  <c r="K13" i="4"/>
  <c r="E73" i="4"/>
  <c r="D53" i="4"/>
  <c r="D55" i="4" s="1"/>
  <c r="F94" i="4"/>
  <c r="P94" i="4" s="1"/>
  <c r="F12" i="4"/>
  <c r="F13" i="4" s="1"/>
  <c r="F8" i="4"/>
  <c r="F9" i="4" s="1"/>
  <c r="F14" i="4"/>
  <c r="F49" i="4"/>
  <c r="M47" i="4"/>
  <c r="M19" i="4"/>
  <c r="P22" i="4"/>
  <c r="H11" i="4"/>
  <c r="I21" i="4"/>
  <c r="F57" i="4"/>
  <c r="N11" i="4"/>
  <c r="J11" i="4"/>
  <c r="O11" i="4"/>
  <c r="O94" i="4"/>
  <c r="F39" i="4"/>
  <c r="D47" i="4"/>
  <c r="D19" i="4"/>
  <c r="L27" i="4"/>
  <c r="L65" i="4" s="1"/>
  <c r="L97" i="4"/>
  <c r="I11" i="4"/>
  <c r="E11" i="4"/>
  <c r="C23" i="9"/>
  <c r="AJ21" i="9"/>
  <c r="L11" i="4"/>
  <c r="G11" i="4"/>
  <c r="P23" i="4"/>
  <c r="C20" i="7"/>
  <c r="AJ16" i="7"/>
  <c r="M11" i="4"/>
  <c r="H94" i="4"/>
  <c r="L94" i="4"/>
  <c r="F42" i="4"/>
  <c r="E44" i="4"/>
  <c r="P85" i="4"/>
  <c r="D11" i="4"/>
  <c r="D91" i="4" s="1"/>
  <c r="N94" i="4"/>
  <c r="N21" i="4"/>
  <c r="G21" i="4"/>
  <c r="K47" i="4"/>
  <c r="K19" i="4"/>
  <c r="AL16" i="7"/>
  <c r="AA20" i="7"/>
  <c r="I94" i="4"/>
  <c r="M21" i="4"/>
  <c r="AK16" i="7"/>
  <c r="O20" i="7"/>
  <c r="Z33" i="8"/>
  <c r="AK33" i="8" s="1"/>
  <c r="E94" i="4"/>
  <c r="J94" i="4"/>
  <c r="J43" i="4"/>
  <c r="K43" i="4" s="1"/>
  <c r="L43" i="4" l="1"/>
  <c r="AL32" i="8"/>
  <c r="C61" i="4"/>
  <c r="C81" i="4"/>
  <c r="P21" i="4"/>
  <c r="F36" i="4"/>
  <c r="F24" i="4"/>
  <c r="D48" i="4"/>
  <c r="E91" i="4"/>
  <c r="F15" i="4"/>
  <c r="F16" i="4"/>
  <c r="AK20" i="7"/>
  <c r="O25" i="7"/>
  <c r="G39" i="4"/>
  <c r="E104" i="4"/>
  <c r="K24" i="4"/>
  <c r="K36" i="4"/>
  <c r="O49" i="4"/>
  <c r="O12" i="4"/>
  <c r="O13" i="4" s="1"/>
  <c r="O8" i="4"/>
  <c r="O9" i="4" s="1"/>
  <c r="O14" i="4"/>
  <c r="D22" i="9"/>
  <c r="D23" i="9" s="1"/>
  <c r="C25" i="9"/>
  <c r="N14" i="4"/>
  <c r="N49" i="4"/>
  <c r="N8" i="4"/>
  <c r="N9" i="4" s="1"/>
  <c r="N12" i="4"/>
  <c r="N13" i="4" s="1"/>
  <c r="N10" i="4"/>
  <c r="F10" i="4"/>
  <c r="C25" i="7"/>
  <c r="AJ20" i="7"/>
  <c r="G57" i="4"/>
  <c r="I14" i="4"/>
  <c r="I49" i="4"/>
  <c r="I8" i="4"/>
  <c r="I9" i="4" s="1"/>
  <c r="I12" i="4"/>
  <c r="I13" i="4" s="1"/>
  <c r="D49" i="4"/>
  <c r="D12" i="4"/>
  <c r="P11" i="4"/>
  <c r="D14" i="4"/>
  <c r="D8" i="4"/>
  <c r="G49" i="4"/>
  <c r="G12" i="4"/>
  <c r="G8" i="4"/>
  <c r="G9" i="4" s="1"/>
  <c r="G10" i="4"/>
  <c r="G13" i="4"/>
  <c r="G14" i="4"/>
  <c r="E95" i="4" s="1"/>
  <c r="L49" i="4"/>
  <c r="L8" i="4"/>
  <c r="L9" i="4" s="1"/>
  <c r="L14" i="4"/>
  <c r="L12" i="4"/>
  <c r="L13" i="4" s="1"/>
  <c r="O47" i="4"/>
  <c r="O19" i="4"/>
  <c r="I47" i="4"/>
  <c r="I19" i="4"/>
  <c r="F44" i="4"/>
  <c r="G42" i="4"/>
  <c r="AL20" i="7"/>
  <c r="AA25" i="7"/>
  <c r="L19" i="4"/>
  <c r="L47" i="4"/>
  <c r="J49" i="4"/>
  <c r="J8" i="4"/>
  <c r="J9" i="4" s="1"/>
  <c r="J14" i="4"/>
  <c r="J12" i="4"/>
  <c r="J13" i="4" s="1"/>
  <c r="H19" i="4"/>
  <c r="H47" i="4"/>
  <c r="E14" i="4"/>
  <c r="E49" i="4"/>
  <c r="E8" i="4"/>
  <c r="E9" i="4" s="1"/>
  <c r="E12" i="4"/>
  <c r="E13" i="4" s="1"/>
  <c r="K16" i="4"/>
  <c r="J95" i="4"/>
  <c r="K15" i="4"/>
  <c r="K17" i="4" s="1"/>
  <c r="K18" i="4" s="1"/>
  <c r="M43" i="4"/>
  <c r="K25" i="4"/>
  <c r="M14" i="4"/>
  <c r="M49" i="4"/>
  <c r="M12" i="4"/>
  <c r="M13" i="4" s="1"/>
  <c r="M8" i="4"/>
  <c r="M9" i="4" s="1"/>
  <c r="J47" i="4"/>
  <c r="J19" i="4"/>
  <c r="M97" i="4"/>
  <c r="M27" i="4"/>
  <c r="M65" i="4" s="1"/>
  <c r="F47" i="4"/>
  <c r="F19" i="4"/>
  <c r="E47" i="4"/>
  <c r="E19" i="4"/>
  <c r="H8" i="4"/>
  <c r="H9" i="4" s="1"/>
  <c r="H49" i="4"/>
  <c r="H10" i="4"/>
  <c r="H12" i="4"/>
  <c r="H13" i="4" s="1"/>
  <c r="H14" i="4"/>
  <c r="N19" i="4"/>
  <c r="N47" i="4"/>
  <c r="B7" i="6"/>
  <c r="C7" i="6" s="1"/>
  <c r="P19" i="4" l="1"/>
  <c r="M10" i="4"/>
  <c r="O10" i="4"/>
  <c r="K26" i="4"/>
  <c r="K28" i="4" s="1"/>
  <c r="P12" i="4"/>
  <c r="F17" i="4"/>
  <c r="F18" i="4" s="1"/>
  <c r="F26" i="4" s="1"/>
  <c r="F28" i="4" s="1"/>
  <c r="F25" i="4"/>
  <c r="L36" i="4"/>
  <c r="L24" i="4"/>
  <c r="L25" i="4" s="1"/>
  <c r="N24" i="4"/>
  <c r="N25" i="4" s="1"/>
  <c r="N36" i="4"/>
  <c r="O66" i="4" s="1"/>
  <c r="I24" i="4"/>
  <c r="I25" i="4" s="1"/>
  <c r="I36" i="4"/>
  <c r="E24" i="4"/>
  <c r="E36" i="4"/>
  <c r="F66" i="4" s="1"/>
  <c r="H36" i="4"/>
  <c r="I66" i="4" s="1"/>
  <c r="H24" i="4"/>
  <c r="H25" i="4" s="1"/>
  <c r="M24" i="4"/>
  <c r="M25" i="4" s="1"/>
  <c r="M36" i="4"/>
  <c r="O24" i="4"/>
  <c r="O36" i="4"/>
  <c r="J36" i="4"/>
  <c r="K66" i="4" s="1"/>
  <c r="J24" i="4"/>
  <c r="J25" i="4" s="1"/>
  <c r="L66" i="4"/>
  <c r="AK25" i="7"/>
  <c r="O33" i="7"/>
  <c r="N97" i="4"/>
  <c r="N27" i="4"/>
  <c r="G44" i="4"/>
  <c r="H42" i="4"/>
  <c r="G95" i="4"/>
  <c r="H15" i="4"/>
  <c r="H16" i="4"/>
  <c r="I95" i="4"/>
  <c r="J15" i="4"/>
  <c r="J16" i="4"/>
  <c r="J10" i="4"/>
  <c r="L10" i="4"/>
  <c r="H95" i="4"/>
  <c r="I16" i="4"/>
  <c r="I15" i="4"/>
  <c r="I17" i="4" s="1"/>
  <c r="I18" i="4" s="1"/>
  <c r="G24" i="4"/>
  <c r="G25" i="4" s="1"/>
  <c r="G36" i="4"/>
  <c r="H66" i="4" s="1"/>
  <c r="O25" i="4"/>
  <c r="D9" i="4"/>
  <c r="P9" i="4" s="1"/>
  <c r="P8" i="4"/>
  <c r="I10" i="4"/>
  <c r="M95" i="4"/>
  <c r="N16" i="4"/>
  <c r="N15" i="4"/>
  <c r="N17" i="4" s="1"/>
  <c r="N18" i="4" s="1"/>
  <c r="F73" i="4"/>
  <c r="E53" i="4"/>
  <c r="E55" i="4" s="1"/>
  <c r="E48" i="4"/>
  <c r="F91" i="4"/>
  <c r="N43" i="4"/>
  <c r="H57" i="4"/>
  <c r="D38" i="4"/>
  <c r="D69" i="4"/>
  <c r="L16" i="4"/>
  <c r="L15" i="4"/>
  <c r="L17" i="4" s="1"/>
  <c r="L18" i="4" s="1"/>
  <c r="L26" i="4" s="1"/>
  <c r="L28" i="4" s="1"/>
  <c r="K95" i="4"/>
  <c r="D13" i="4"/>
  <c r="O95" i="4"/>
  <c r="D15" i="4"/>
  <c r="P14" i="4"/>
  <c r="D16" i="4"/>
  <c r="D17" i="4"/>
  <c r="E22" i="9"/>
  <c r="E23" i="9" s="1"/>
  <c r="D25" i="9"/>
  <c r="AJ25" i="7"/>
  <c r="C33" i="7"/>
  <c r="E10" i="4"/>
  <c r="AL25" i="7"/>
  <c r="AA33" i="7"/>
  <c r="N95" i="4"/>
  <c r="O16" i="4"/>
  <c r="O15" i="4"/>
  <c r="O17" i="4" s="1"/>
  <c r="O18" i="4" s="1"/>
  <c r="F95" i="4"/>
  <c r="G16" i="4"/>
  <c r="G15" i="4"/>
  <c r="G17" i="4"/>
  <c r="G18" i="4" s="1"/>
  <c r="G26" i="4" s="1"/>
  <c r="G28" i="4" s="1"/>
  <c r="H39" i="4"/>
  <c r="E25" i="4"/>
  <c r="L95" i="4"/>
  <c r="M15" i="4"/>
  <c r="M16" i="4"/>
  <c r="M17" i="4"/>
  <c r="M18" i="4" s="1"/>
  <c r="D95" i="4"/>
  <c r="E15" i="4"/>
  <c r="E16" i="4"/>
  <c r="J17" i="4" l="1"/>
  <c r="J18" i="4" s="1"/>
  <c r="J26" i="4" s="1"/>
  <c r="J28" i="4" s="1"/>
  <c r="H17" i="4"/>
  <c r="H18" i="4" s="1"/>
  <c r="E17" i="4"/>
  <c r="E18" i="4" s="1"/>
  <c r="E26" i="4" s="1"/>
  <c r="E28" i="4" s="1"/>
  <c r="N66" i="4"/>
  <c r="O26" i="4"/>
  <c r="D96" i="4"/>
  <c r="I26" i="4"/>
  <c r="I28" i="4" s="1"/>
  <c r="M26" i="4"/>
  <c r="M28" i="4" s="1"/>
  <c r="N26" i="4"/>
  <c r="N28" i="4" s="1"/>
  <c r="H26" i="4"/>
  <c r="H28" i="4" s="1"/>
  <c r="O97" i="4"/>
  <c r="O27" i="4"/>
  <c r="O65" i="4" s="1"/>
  <c r="P65" i="4" s="1"/>
  <c r="E69" i="4"/>
  <c r="E38" i="4"/>
  <c r="C35" i="7"/>
  <c r="AJ33" i="7"/>
  <c r="F22" i="9"/>
  <c r="F23" i="9" s="1"/>
  <c r="E25" i="9"/>
  <c r="G91" i="4"/>
  <c r="F48" i="4"/>
  <c r="D37" i="4"/>
  <c r="D46" i="4"/>
  <c r="D100" i="4"/>
  <c r="O35" i="7"/>
  <c r="AK33" i="7"/>
  <c r="F104" i="4"/>
  <c r="P16" i="4"/>
  <c r="I57" i="4"/>
  <c r="D10" i="4"/>
  <c r="P10" i="4" s="1"/>
  <c r="P15" i="4"/>
  <c r="H44" i="4"/>
  <c r="I42" i="4"/>
  <c r="G66" i="4"/>
  <c r="AA35" i="7"/>
  <c r="AL33" i="7"/>
  <c r="M66" i="4"/>
  <c r="I39" i="4"/>
  <c r="B43" i="5"/>
  <c r="D24" i="4"/>
  <c r="D36" i="4"/>
  <c r="P13" i="4"/>
  <c r="D18" i="4"/>
  <c r="N65" i="4"/>
  <c r="P27" i="4"/>
  <c r="J66" i="4"/>
  <c r="P17" i="4" l="1"/>
  <c r="O43" i="4"/>
  <c r="F38" i="4"/>
  <c r="F69" i="4"/>
  <c r="G73" i="4"/>
  <c r="F53" i="4"/>
  <c r="F55" i="4" s="1"/>
  <c r="P18" i="4"/>
  <c r="P24" i="4"/>
  <c r="D25" i="4"/>
  <c r="P25" i="4" s="1"/>
  <c r="D67" i="4"/>
  <c r="E96" i="4"/>
  <c r="E100" i="4" s="1"/>
  <c r="D68" i="4"/>
  <c r="AL35" i="7"/>
  <c r="AA37" i="7"/>
  <c r="I44" i="4"/>
  <c r="J42" i="4"/>
  <c r="E66" i="4"/>
  <c r="D66" i="4"/>
  <c r="H91" i="4"/>
  <c r="G48" i="4"/>
  <c r="G22" i="9"/>
  <c r="G23" i="9" s="1"/>
  <c r="F25" i="9"/>
  <c r="J39" i="4"/>
  <c r="AK35" i="7"/>
  <c r="O37" i="7"/>
  <c r="AJ35" i="7"/>
  <c r="C37" i="7"/>
  <c r="O28" i="4"/>
  <c r="J57" i="4"/>
  <c r="D40" i="4"/>
  <c r="D50" i="4"/>
  <c r="D26" i="4" l="1"/>
  <c r="D28" i="4"/>
  <c r="P26" i="4"/>
  <c r="J44" i="4"/>
  <c r="K42" i="4"/>
  <c r="K39" i="4"/>
  <c r="AK37" i="7"/>
  <c r="O39" i="7"/>
  <c r="AK39" i="7" s="1"/>
  <c r="H22" i="9"/>
  <c r="H23" i="9" s="1"/>
  <c r="G25" i="9"/>
  <c r="G104" i="4"/>
  <c r="E46" i="4"/>
  <c r="K57" i="4"/>
  <c r="I91" i="4"/>
  <c r="H48" i="4"/>
  <c r="AL37" i="7"/>
  <c r="AA39" i="7"/>
  <c r="C107" i="4"/>
  <c r="E40" i="4"/>
  <c r="E50" i="4"/>
  <c r="G69" i="4"/>
  <c r="G38" i="4"/>
  <c r="E37" i="4"/>
  <c r="AJ37" i="7"/>
  <c r="C39" i="7"/>
  <c r="AJ39" i="7" s="1"/>
  <c r="P66" i="4"/>
  <c r="J91" i="4" l="1"/>
  <c r="I48" i="4"/>
  <c r="L42" i="4"/>
  <c r="K44" i="4"/>
  <c r="L39" i="4"/>
  <c r="D30" i="4"/>
  <c r="P28" i="4"/>
  <c r="L57" i="4"/>
  <c r="H69" i="4"/>
  <c r="H38" i="4"/>
  <c r="F96" i="4"/>
  <c r="F37" i="4" s="1"/>
  <c r="E67" i="4"/>
  <c r="E68" i="4"/>
  <c r="H73" i="4"/>
  <c r="G55" i="4"/>
  <c r="G53" i="4"/>
  <c r="AL39" i="7"/>
  <c r="C112" i="4"/>
  <c r="I22" i="9"/>
  <c r="I23" i="9" s="1"/>
  <c r="H25" i="9"/>
  <c r="G96" i="4" l="1"/>
  <c r="G46" i="4" s="1"/>
  <c r="F67" i="4"/>
  <c r="M39" i="4"/>
  <c r="D107" i="4"/>
  <c r="D109" i="4" s="1"/>
  <c r="D31" i="4" s="1"/>
  <c r="D32" i="4" s="1"/>
  <c r="J22" i="9"/>
  <c r="J23" i="9" s="1"/>
  <c r="I25" i="9"/>
  <c r="L44" i="4"/>
  <c r="M42" i="4"/>
  <c r="I69" i="4"/>
  <c r="I38" i="4"/>
  <c r="K91" i="4"/>
  <c r="J48" i="4"/>
  <c r="M57" i="4"/>
  <c r="H104" i="4"/>
  <c r="F46" i="4"/>
  <c r="F100" i="4"/>
  <c r="D112" i="4" l="1"/>
  <c r="D64" i="4"/>
  <c r="D59" i="4"/>
  <c r="N57" i="4"/>
  <c r="K22" i="9"/>
  <c r="K23" i="9" s="1"/>
  <c r="J25" i="9"/>
  <c r="J38" i="4"/>
  <c r="J69" i="4"/>
  <c r="G68" i="4"/>
  <c r="I73" i="4"/>
  <c r="I104" i="4" s="1"/>
  <c r="H53" i="4"/>
  <c r="H55" i="4" s="1"/>
  <c r="L91" i="4"/>
  <c r="K48" i="4"/>
  <c r="N39" i="4"/>
  <c r="G101" i="4"/>
  <c r="G100" i="4"/>
  <c r="F50" i="4"/>
  <c r="F40" i="4"/>
  <c r="F68" i="4"/>
  <c r="D51" i="4"/>
  <c r="N42" i="4"/>
  <c r="M44" i="4"/>
  <c r="G37" i="4"/>
  <c r="G40" i="4" l="1"/>
  <c r="G50" i="4"/>
  <c r="L22" i="9"/>
  <c r="L23" i="9" s="1"/>
  <c r="K25" i="9"/>
  <c r="H96" i="4"/>
  <c r="G67" i="4"/>
  <c r="M91" i="4"/>
  <c r="L48" i="4"/>
  <c r="D71" i="4"/>
  <c r="O39" i="4"/>
  <c r="N44" i="4"/>
  <c r="O42" i="4"/>
  <c r="O44" i="4" s="1"/>
  <c r="K69" i="4"/>
  <c r="K38" i="4"/>
  <c r="D70" i="4"/>
  <c r="O57" i="4"/>
  <c r="I53" i="4"/>
  <c r="I55" i="4" s="1"/>
  <c r="J73" i="4"/>
  <c r="J104" i="4" s="1"/>
  <c r="K73" i="4" l="1"/>
  <c r="J53" i="4"/>
  <c r="J55" i="4" s="1"/>
  <c r="D103" i="4"/>
  <c r="N91" i="4"/>
  <c r="M48" i="4"/>
  <c r="H46" i="4"/>
  <c r="H37" i="4"/>
  <c r="L25" i="9"/>
  <c r="M22" i="9"/>
  <c r="M23" i="9" s="1"/>
  <c r="L38" i="4"/>
  <c r="L69" i="4"/>
  <c r="H100" i="4"/>
  <c r="H40" i="4" l="1"/>
  <c r="H50" i="4"/>
  <c r="N22" i="9"/>
  <c r="N23" i="9" s="1"/>
  <c r="M25" i="9"/>
  <c r="H68" i="4"/>
  <c r="I96" i="4"/>
  <c r="H67" i="4"/>
  <c r="M69" i="4"/>
  <c r="M38" i="4"/>
  <c r="O91" i="4"/>
  <c r="O48" i="4" s="1"/>
  <c r="N48" i="4"/>
  <c r="D74" i="4"/>
  <c r="D75" i="4"/>
  <c r="K104" i="4"/>
  <c r="I46" i="4" l="1"/>
  <c r="L73" i="4"/>
  <c r="K53" i="4"/>
  <c r="K55" i="4" s="1"/>
  <c r="L104" i="4"/>
  <c r="N38" i="4"/>
  <c r="N69" i="4"/>
  <c r="D52" i="4"/>
  <c r="I37" i="4"/>
  <c r="AJ23" i="9"/>
  <c r="O22" i="9"/>
  <c r="N25" i="9"/>
  <c r="AJ25" i="9" s="1"/>
  <c r="O69" i="4"/>
  <c r="O38" i="4"/>
  <c r="B48" i="5"/>
  <c r="I100" i="4"/>
  <c r="P69" i="4" l="1"/>
  <c r="O23" i="9"/>
  <c r="AK22" i="9"/>
  <c r="J96" i="4"/>
  <c r="J46" i="4" s="1"/>
  <c r="I67" i="4"/>
  <c r="J101" i="4"/>
  <c r="J100" i="4" s="1"/>
  <c r="I50" i="4"/>
  <c r="I40" i="4"/>
  <c r="L53" i="4"/>
  <c r="L55" i="4" s="1"/>
  <c r="M73" i="4"/>
  <c r="D76" i="4"/>
  <c r="E29" i="4"/>
  <c r="D54" i="4"/>
  <c r="D56" i="4" s="1"/>
  <c r="I68" i="4"/>
  <c r="J40" i="4" l="1"/>
  <c r="J50" i="4"/>
  <c r="E30" i="4"/>
  <c r="D58" i="4"/>
  <c r="D77" i="4"/>
  <c r="P22" i="9"/>
  <c r="P23" i="9" s="1"/>
  <c r="O25" i="9"/>
  <c r="J68" i="4"/>
  <c r="J37" i="4"/>
  <c r="M104" i="4"/>
  <c r="D78" i="4" l="1"/>
  <c r="E107" i="4"/>
  <c r="E109" i="4" s="1"/>
  <c r="E31" i="4" s="1"/>
  <c r="M53" i="4"/>
  <c r="M55" i="4" s="1"/>
  <c r="N73" i="4"/>
  <c r="K37" i="4"/>
  <c r="K67" i="4" s="1"/>
  <c r="K96" i="4"/>
  <c r="J67" i="4"/>
  <c r="D60" i="4"/>
  <c r="D61" i="4" s="1"/>
  <c r="Q22" i="9"/>
  <c r="Q23" i="9" s="1"/>
  <c r="P25" i="9"/>
  <c r="E51" i="4" l="1"/>
  <c r="E32" i="4"/>
  <c r="L96" i="4"/>
  <c r="L46" i="4" s="1"/>
  <c r="R22" i="9"/>
  <c r="R23" i="9" s="1"/>
  <c r="Q25" i="9"/>
  <c r="D35" i="4"/>
  <c r="N104" i="4"/>
  <c r="K46" i="4"/>
  <c r="K100" i="4"/>
  <c r="O73" i="4" l="1"/>
  <c r="N53" i="4"/>
  <c r="N55" i="4" s="1"/>
  <c r="D82" i="4"/>
  <c r="D41" i="4"/>
  <c r="L37" i="4"/>
  <c r="E70" i="4"/>
  <c r="S22" i="9"/>
  <c r="S23" i="9" s="1"/>
  <c r="R25" i="9"/>
  <c r="E64" i="4"/>
  <c r="E112" i="4"/>
  <c r="E59" i="4"/>
  <c r="L68" i="4"/>
  <c r="L100" i="4"/>
  <c r="K40" i="4"/>
  <c r="K50" i="4"/>
  <c r="K68" i="4"/>
  <c r="M101" i="4" l="1"/>
  <c r="P101" i="4" s="1"/>
  <c r="L40" i="4"/>
  <c r="L50" i="4"/>
  <c r="D102" i="4"/>
  <c r="D45" i="4"/>
  <c r="D81" i="4" s="1"/>
  <c r="E71" i="4"/>
  <c r="M96" i="4"/>
  <c r="M46" i="4" s="1"/>
  <c r="L67" i="4"/>
  <c r="P73" i="4"/>
  <c r="T22" i="9"/>
  <c r="T23" i="9" s="1"/>
  <c r="S25" i="9"/>
  <c r="O104" i="4"/>
  <c r="M68" i="4" l="1"/>
  <c r="M37" i="4"/>
  <c r="O53" i="4"/>
  <c r="O55" i="4"/>
  <c r="M100" i="4"/>
  <c r="E103" i="4"/>
  <c r="U22" i="9"/>
  <c r="U23" i="9" s="1"/>
  <c r="T25" i="9"/>
  <c r="N96" i="4" l="1"/>
  <c r="N46" i="4" s="1"/>
  <c r="M67" i="4"/>
  <c r="E74" i="4"/>
  <c r="E75" i="4"/>
  <c r="M40" i="4"/>
  <c r="M50" i="4"/>
  <c r="N100" i="4"/>
  <c r="V22" i="9"/>
  <c r="V23" i="9" s="1"/>
  <c r="U25" i="9"/>
  <c r="N40" i="4" l="1"/>
  <c r="N50" i="4"/>
  <c r="N68" i="4"/>
  <c r="W22" i="9"/>
  <c r="W23" i="9" s="1"/>
  <c r="V25" i="9"/>
  <c r="E52" i="4"/>
  <c r="N37" i="4"/>
  <c r="X22" i="9" l="1"/>
  <c r="X23" i="9" s="1"/>
  <c r="W25" i="9"/>
  <c r="O96" i="4"/>
  <c r="O37" i="4" s="1"/>
  <c r="O67" i="4" s="1"/>
  <c r="N67" i="4"/>
  <c r="E76" i="4"/>
  <c r="F29" i="4"/>
  <c r="E54" i="4"/>
  <c r="E56" i="4" s="1"/>
  <c r="P67" i="4" l="1"/>
  <c r="E58" i="4"/>
  <c r="E77" i="4"/>
  <c r="F30" i="4"/>
  <c r="O46" i="4"/>
  <c r="P96" i="4"/>
  <c r="O100" i="4"/>
  <c r="X25" i="9"/>
  <c r="Y22" i="9"/>
  <c r="Y23" i="9" s="1"/>
  <c r="Z22" i="9" l="1"/>
  <c r="Z23" i="9" s="1"/>
  <c r="Y25" i="9"/>
  <c r="O68" i="4"/>
  <c r="P68" i="4" s="1"/>
  <c r="E60" i="4"/>
  <c r="E61" i="4" s="1"/>
  <c r="O50" i="4"/>
  <c r="O40" i="4"/>
  <c r="F107" i="4"/>
  <c r="E78" i="4"/>
  <c r="E35" i="4" l="1"/>
  <c r="F109" i="4"/>
  <c r="G108" i="4"/>
  <c r="H108" i="4" s="1"/>
  <c r="I108" i="4" s="1"/>
  <c r="J108" i="4" s="1"/>
  <c r="K108" i="4" s="1"/>
  <c r="L108" i="4" s="1"/>
  <c r="M108" i="4" s="1"/>
  <c r="N108" i="4" s="1"/>
  <c r="O108" i="4" s="1"/>
  <c r="AA22" i="9"/>
  <c r="Z25" i="9"/>
  <c r="AK25" i="9" s="1"/>
  <c r="AK23" i="9"/>
  <c r="AA23" i="9" l="1"/>
  <c r="AL22" i="9"/>
  <c r="G110" i="4"/>
  <c r="H110" i="4" s="1"/>
  <c r="I111" i="4" s="1"/>
  <c r="P111" i="4" s="1"/>
  <c r="F31" i="4"/>
  <c r="E82" i="4"/>
  <c r="E41" i="4"/>
  <c r="F51" i="4" l="1"/>
  <c r="F32" i="4"/>
  <c r="E102" i="4"/>
  <c r="E45" i="4"/>
  <c r="E81" i="4" s="1"/>
  <c r="AB22" i="9"/>
  <c r="AB23" i="9" s="1"/>
  <c r="AA25" i="9"/>
  <c r="AC22" i="9" l="1"/>
  <c r="AC23" i="9" s="1"/>
  <c r="AB25" i="9"/>
  <c r="F70" i="4"/>
  <c r="F112" i="4"/>
  <c r="F64" i="4"/>
  <c r="F71" i="4" l="1"/>
  <c r="AD22" i="9"/>
  <c r="AD23" i="9" s="1"/>
  <c r="AC25" i="9"/>
  <c r="F103" i="4" l="1"/>
  <c r="AE22" i="9"/>
  <c r="AE23" i="9" s="1"/>
  <c r="AD25" i="9"/>
  <c r="AF22" i="9" l="1"/>
  <c r="AF23" i="9" s="1"/>
  <c r="AE25" i="9"/>
  <c r="F74" i="4"/>
  <c r="F75" i="4"/>
  <c r="F52" i="4" l="1"/>
  <c r="AG22" i="9"/>
  <c r="AG23" i="9" s="1"/>
  <c r="AF25" i="9"/>
  <c r="AH22" i="9" l="1"/>
  <c r="AH23" i="9" s="1"/>
  <c r="AG25" i="9"/>
  <c r="F76" i="4"/>
  <c r="G29" i="4"/>
  <c r="F54" i="4"/>
  <c r="F56" i="4" s="1"/>
  <c r="G30" i="4" l="1"/>
  <c r="F58" i="4"/>
  <c r="F77" i="4"/>
  <c r="AI22" i="9"/>
  <c r="AI23" i="9" s="1"/>
  <c r="AH25" i="9"/>
  <c r="AI25" i="9" l="1"/>
  <c r="AL23" i="9"/>
  <c r="F78" i="4"/>
  <c r="G107" i="4"/>
  <c r="G109" i="4" s="1"/>
  <c r="G31" i="4" s="1"/>
  <c r="G32" i="4" s="1"/>
  <c r="F60" i="4"/>
  <c r="F61" i="4" s="1"/>
  <c r="G112" i="4" l="1"/>
  <c r="G64" i="4"/>
  <c r="G59" i="4"/>
  <c r="F35" i="4"/>
  <c r="G51" i="4"/>
  <c r="AL25" i="9"/>
  <c r="B8" i="6"/>
  <c r="C8" i="6" s="1"/>
  <c r="G70" i="4" l="1"/>
  <c r="G71" i="4" s="1"/>
  <c r="F82" i="4"/>
  <c r="F41" i="4"/>
  <c r="G103" i="4" l="1"/>
  <c r="F102" i="4"/>
  <c r="F45" i="4"/>
  <c r="F81" i="4" s="1"/>
  <c r="G75" i="4" l="1"/>
  <c r="G74" i="4"/>
  <c r="G52" i="4" l="1"/>
  <c r="G76" i="4" l="1"/>
  <c r="H29" i="4"/>
  <c r="H30" i="4" s="1"/>
  <c r="G54" i="4"/>
  <c r="G56" i="4" s="1"/>
  <c r="H107" i="4" l="1"/>
  <c r="H109" i="4" s="1"/>
  <c r="H31" i="4" s="1"/>
  <c r="G58" i="4"/>
  <c r="G77" i="4"/>
  <c r="G78" i="4" l="1"/>
  <c r="H51" i="4"/>
  <c r="G60" i="4"/>
  <c r="G61" i="4" s="1"/>
  <c r="H32" i="4"/>
  <c r="H112" i="4" l="1"/>
  <c r="H64" i="4"/>
  <c r="H59" i="4"/>
  <c r="H70" i="4"/>
  <c r="G35" i="4"/>
  <c r="H71" i="4" l="1"/>
  <c r="G82" i="4"/>
  <c r="G41" i="4"/>
  <c r="G102" i="4" l="1"/>
  <c r="G45" i="4"/>
  <c r="G81" i="4" s="1"/>
  <c r="H103" i="4"/>
  <c r="H74" i="4" l="1"/>
  <c r="H75" i="4"/>
  <c r="H52" i="4" l="1"/>
  <c r="H76" i="4" l="1"/>
  <c r="I29" i="4"/>
  <c r="I30" i="4" s="1"/>
  <c r="H54" i="4"/>
  <c r="H56" i="4" s="1"/>
  <c r="I107" i="4" l="1"/>
  <c r="I109" i="4" s="1"/>
  <c r="I31" i="4" s="1"/>
  <c r="I51" i="4" s="1"/>
  <c r="H58" i="4"/>
  <c r="H77" i="4"/>
  <c r="H78" i="4" l="1"/>
  <c r="H60" i="4"/>
  <c r="H61" i="4" s="1"/>
  <c r="I32" i="4"/>
  <c r="I70" i="4"/>
  <c r="I112" i="4" l="1"/>
  <c r="I64" i="4"/>
  <c r="I71" i="4" s="1"/>
  <c r="I59" i="4"/>
  <c r="H35" i="4"/>
  <c r="I103" i="4" l="1"/>
  <c r="H82" i="4"/>
  <c r="H41" i="4"/>
  <c r="H102" i="4" l="1"/>
  <c r="H45" i="4"/>
  <c r="H81" i="4" s="1"/>
  <c r="I75" i="4"/>
  <c r="I74" i="4"/>
  <c r="I52" i="4" l="1"/>
  <c r="I76" i="4" l="1"/>
  <c r="J29" i="4"/>
  <c r="J30" i="4" s="1"/>
  <c r="I54" i="4"/>
  <c r="I56" i="4" s="1"/>
  <c r="J107" i="4" l="1"/>
  <c r="J109" i="4" s="1"/>
  <c r="J31" i="4" s="1"/>
  <c r="J51" i="4" s="1"/>
  <c r="I58" i="4"/>
  <c r="I77" i="4"/>
  <c r="I78" i="4" s="1"/>
  <c r="I35" i="4" s="1"/>
  <c r="I41" i="4" l="1"/>
  <c r="I82" i="4"/>
  <c r="I60" i="4"/>
  <c r="I61" i="4" s="1"/>
  <c r="J32" i="4"/>
  <c r="J70" i="4"/>
  <c r="J112" i="4" l="1"/>
  <c r="J64" i="4"/>
  <c r="J71" i="4" s="1"/>
  <c r="J59" i="4"/>
  <c r="I102" i="4"/>
  <c r="I45" i="4"/>
  <c r="I81" i="4" s="1"/>
  <c r="J103" i="4" l="1"/>
  <c r="J75" i="4" l="1"/>
  <c r="J74" i="4"/>
  <c r="J52" i="4" l="1"/>
  <c r="J76" i="4" l="1"/>
  <c r="K29" i="4"/>
  <c r="K30" i="4" s="1"/>
  <c r="J54" i="4"/>
  <c r="J56" i="4" s="1"/>
  <c r="K107" i="4" l="1"/>
  <c r="K109" i="4" s="1"/>
  <c r="K31" i="4" s="1"/>
  <c r="K51" i="4" s="1"/>
  <c r="J58" i="4"/>
  <c r="J77" i="4"/>
  <c r="J78" i="4" s="1"/>
  <c r="J35" i="4" s="1"/>
  <c r="J82" i="4" l="1"/>
  <c r="J41" i="4"/>
  <c r="J60" i="4"/>
  <c r="J61" i="4" s="1"/>
  <c r="K70" i="4"/>
  <c r="K32" i="4"/>
  <c r="J102" i="4" l="1"/>
  <c r="J45" i="4"/>
  <c r="J81" i="4" s="1"/>
  <c r="K112" i="4"/>
  <c r="K64" i="4"/>
  <c r="K71" i="4" s="1"/>
  <c r="K59" i="4"/>
  <c r="K103" i="4" l="1"/>
  <c r="K74" i="4" l="1"/>
  <c r="K75" i="4"/>
  <c r="K52" i="4" l="1"/>
  <c r="K76" i="4" l="1"/>
  <c r="L29" i="4"/>
  <c r="L30" i="4" s="1"/>
  <c r="K54" i="4"/>
  <c r="K56" i="4" s="1"/>
  <c r="L107" i="4" l="1"/>
  <c r="L109" i="4" s="1"/>
  <c r="L31" i="4" s="1"/>
  <c r="L51" i="4" s="1"/>
  <c r="K58" i="4"/>
  <c r="K77" i="4"/>
  <c r="K78" i="4" s="1"/>
  <c r="K35" i="4" s="1"/>
  <c r="K60" i="4" l="1"/>
  <c r="K61" i="4" s="1"/>
  <c r="K41" i="4"/>
  <c r="K82" i="4"/>
  <c r="L32" i="4"/>
  <c r="L70" i="4"/>
  <c r="L112" i="4" l="1"/>
  <c r="L64" i="4"/>
  <c r="L71" i="4" s="1"/>
  <c r="L59" i="4"/>
  <c r="K102" i="4"/>
  <c r="K45" i="4"/>
  <c r="K81" i="4" s="1"/>
  <c r="L103" i="4" l="1"/>
  <c r="L74" i="4" l="1"/>
  <c r="L75" i="4"/>
  <c r="L52" i="4" l="1"/>
  <c r="L76" i="4" l="1"/>
  <c r="M29" i="4"/>
  <c r="M30" i="4" s="1"/>
  <c r="L54" i="4"/>
  <c r="L56" i="4" s="1"/>
  <c r="M107" i="4" l="1"/>
  <c r="M109" i="4" s="1"/>
  <c r="M31" i="4" s="1"/>
  <c r="M51" i="4" s="1"/>
  <c r="L58" i="4"/>
  <c r="L77" i="4"/>
  <c r="L78" i="4" s="1"/>
  <c r="L35" i="4" s="1"/>
  <c r="L41" i="4" l="1"/>
  <c r="L82" i="4"/>
  <c r="L60" i="4"/>
  <c r="L61" i="4" s="1"/>
  <c r="M32" i="4"/>
  <c r="M70" i="4"/>
  <c r="M112" i="4" l="1"/>
  <c r="M64" i="4"/>
  <c r="M71" i="4" s="1"/>
  <c r="M59" i="4"/>
  <c r="L102" i="4"/>
  <c r="L45" i="4"/>
  <c r="L81" i="4" s="1"/>
  <c r="M103" i="4" l="1"/>
  <c r="M75" i="4" l="1"/>
  <c r="M74" i="4"/>
  <c r="M52" i="4" l="1"/>
  <c r="M76" i="4" l="1"/>
  <c r="N29" i="4"/>
  <c r="N30" i="4" s="1"/>
  <c r="M54" i="4"/>
  <c r="M56" i="4" s="1"/>
  <c r="N107" i="4" l="1"/>
  <c r="N109" i="4" s="1"/>
  <c r="N31" i="4" s="1"/>
  <c r="N51" i="4" s="1"/>
  <c r="M58" i="4"/>
  <c r="M77" i="4"/>
  <c r="M78" i="4" s="1"/>
  <c r="M35" i="4" s="1"/>
  <c r="M60" i="4" l="1"/>
  <c r="M61" i="4" s="1"/>
  <c r="M41" i="4"/>
  <c r="M82" i="4"/>
  <c r="N32" i="4"/>
  <c r="N70" i="4"/>
  <c r="N64" i="4" l="1"/>
  <c r="N71" i="4" s="1"/>
  <c r="N112" i="4"/>
  <c r="N59" i="4"/>
  <c r="M102" i="4"/>
  <c r="M45" i="4"/>
  <c r="M81" i="4" s="1"/>
  <c r="N103" i="4" l="1"/>
  <c r="N74" i="4" l="1"/>
  <c r="N75" i="4"/>
  <c r="N52" i="4" l="1"/>
  <c r="N76" i="4" l="1"/>
  <c r="O29" i="4"/>
  <c r="N54" i="4"/>
  <c r="N56" i="4" s="1"/>
  <c r="O30" i="4" l="1"/>
  <c r="P29" i="4"/>
  <c r="N58" i="4"/>
  <c r="N77" i="4"/>
  <c r="N78" i="4" s="1"/>
  <c r="N35" i="4" s="1"/>
  <c r="N82" i="4" l="1"/>
  <c r="N41" i="4"/>
  <c r="O107" i="4"/>
  <c r="O109" i="4" s="1"/>
  <c r="O31" i="4" s="1"/>
  <c r="O32" i="4" s="1"/>
  <c r="P30" i="4"/>
  <c r="N60" i="4"/>
  <c r="N61" i="4" s="1"/>
  <c r="O112" i="4" l="1"/>
  <c r="O64" i="4"/>
  <c r="P32" i="4"/>
  <c r="B44" i="5"/>
  <c r="O59" i="4"/>
  <c r="P31" i="4"/>
  <c r="O51" i="4"/>
  <c r="N102" i="4"/>
  <c r="N45" i="4"/>
  <c r="N81" i="4" s="1"/>
  <c r="O70" i="4" l="1"/>
  <c r="P70" i="4" s="1"/>
  <c r="P64" i="4"/>
  <c r="O71" i="4" l="1"/>
  <c r="P71" i="4" l="1"/>
  <c r="O103" i="4"/>
  <c r="O75" i="4" l="1"/>
  <c r="P75" i="4" s="1"/>
  <c r="O74" i="4"/>
  <c r="P74" i="4" l="1"/>
  <c r="O52" i="4"/>
  <c r="O76" i="4" l="1"/>
  <c r="B47" i="5"/>
  <c r="O54" i="4"/>
  <c r="O56" i="4" s="1"/>
  <c r="P76" i="4" l="1"/>
  <c r="O58" i="4"/>
  <c r="O60" i="4" s="1"/>
  <c r="O61" i="4" s="1"/>
  <c r="O77" i="4"/>
  <c r="P77" i="4" l="1"/>
  <c r="O78" i="4"/>
  <c r="P78" i="4" l="1"/>
  <c r="O35" i="4"/>
  <c r="B45" i="5" l="1"/>
  <c r="O41" i="4"/>
  <c r="O82" i="4"/>
  <c r="B10" i="6" s="1"/>
  <c r="C10" i="6" s="1"/>
  <c r="B46" i="5"/>
  <c r="O102" i="4" l="1"/>
  <c r="O45" i="4"/>
  <c r="O81" i="4" s="1"/>
  <c r="B9" i="6" l="1"/>
  <c r="C9" i="6" s="1"/>
  <c r="C12" i="6" s="1"/>
  <c r="B49" i="5"/>
</calcChain>
</file>

<file path=xl/sharedStrings.xml><?xml version="1.0" encoding="utf-8"?>
<sst xmlns="http://schemas.openxmlformats.org/spreadsheetml/2006/main" count="945" uniqueCount="625">
  <si>
    <t>⚠ SIMULATED FINANCIAL INFORMATION - synthetic demonstration accounts of a fictional retailer, not actual company records. Synthetic data generated for a VisiVault Analytics proof of concept (seed 20240102). Fictional retailer.</t>
  </si>
  <si>
    <t>Prairie Home Furnishings (fictional) - Integrated Three-Statement Financial Model</t>
  </si>
  <si>
    <t>Demonstration developed by VisiVault Analytics Ltd. | October 2026</t>
  </si>
  <si>
    <t>WHAT THIS IS</t>
  </si>
  <si>
    <t>SIMULATED accounts of a FICTIONAL Calgary furniture retailer, built by double entry from synthetic operational data. Not actual company records.</t>
  </si>
  <si>
    <t>Historical months (Jan-2024 to Sep-2026) are simulated actuals from the general ledger; Oct-2026 to Sep-2027 are FORECASTS.</t>
  </si>
  <si>
    <t>HOW TO USE</t>
  </si>
  <si>
    <t>1. Assumptions!C4 - choose Conservative / Base / Optimistic / Custom (edit the Custom column freely).</t>
  </si>
  <si>
    <t>2. Drivers - edit any blue monthly input (bookings, backlog release, staffing plan, lease, capex plan, inventory cover policy).</t>
  </si>
  <si>
    <t>3. Forecast - three statements recalculate; the CHECKS rows and the Checks sheet must stay at 0 / TRUE.</t>
  </si>
  <si>
    <t>4. Scenario_Results - stored comparison of the three scenarios and the sensitivity cases.</t>
  </si>
  <si>
    <t>ACCOUNTING POLICIES</t>
  </si>
  <si>
    <t>Revenue is recognised at hand-off (store pickup or loading to the customer's carrier), not at order. Deposits and balances received earlier are customer deposits</t>
  </si>
  <si>
    <t>(contract liabilities). Third-party delivery is paid by the customer to the carrier and is not revenue; flat-rate delivery and protection plans are collected as agent</t>
  </si>
  <si>
    <t>(only the plan commission is revenue). Inventory at purchase cost; stocked goods and goods allocated to customer orders are shown separately.</t>
  </si>
  <si>
    <t>CONVENTIONS</t>
  </si>
  <si>
    <t>CAD. Income-statement and cash-flow lines are signed: income/inflows positive, costs/outflows in (parentheses). Blue-on-yellow cells are inputs; black cells are formulas.</t>
  </si>
  <si>
    <t>Interest is charged on opening balances and the revolver follows a cash-band rule, so the model has no circular references and no balancing plugs.</t>
  </si>
  <si>
    <t>SHEETS</t>
  </si>
  <si>
    <t>Assumptions | Drivers | Forecast | Scenario_Results | Checks | Hist_IS | Hist_BS | Hist_CF | Hist_Balances</t>
  </si>
  <si>
    <t>Forecast assumptions - choose a scenario, or edit the Custom column</t>
  </si>
  <si>
    <t>Blue cells on yellow are inputs. Column H (Active) feeds every forecast formula.</t>
  </si>
  <si>
    <t>Active scenario  &gt;&gt;</t>
  </si>
  <si>
    <t>Base</t>
  </si>
  <si>
    <t>Key</t>
  </si>
  <si>
    <t>Scenario driver</t>
  </si>
  <si>
    <t>Unit</t>
  </si>
  <si>
    <t>Conservative</t>
  </si>
  <si>
    <t>Optimistic</t>
  </si>
  <si>
    <t>Custom</t>
  </si>
  <si>
    <t>Active</t>
  </si>
  <si>
    <t>volume_change</t>
  </si>
  <si>
    <t>Sales volume change</t>
  </si>
  <si>
    <t>%</t>
  </si>
  <si>
    <t>margin_pts</t>
  </si>
  <si>
    <t>Gross-margin improvement</t>
  </si>
  <si>
    <t>pts</t>
  </si>
  <si>
    <t>slow_reduction</t>
  </si>
  <si>
    <t>Slow-moving inventory reduction</t>
  </si>
  <si>
    <t>delay_reduction</t>
  </si>
  <si>
    <t>Supplier-delay reduction</t>
  </si>
  <si>
    <t>consult_conv_change</t>
  </si>
  <si>
    <t>Design-consultation conversion change</t>
  </si>
  <si>
    <t>dpo_change_days</t>
  </si>
  <si>
    <t>Change in supplier payment days</t>
  </si>
  <si>
    <t>days</t>
  </si>
  <si>
    <t>opex_change</t>
  </si>
  <si>
    <t>Change in controllable operating expenses</t>
  </si>
  <si>
    <t>discount_change</t>
  </si>
  <si>
    <t>Change in promotional discount rate</t>
  </si>
  <si>
    <t>rate_change</t>
  </si>
  <si>
    <t>Change in prime rate</t>
  </si>
  <si>
    <t>Scenario notes</t>
  </si>
  <si>
    <t>Bookings -7%, gross margin -1 pt, supplier delays 15% worse, suppliers shorten terms by 5 days, opex +2%, +1 pt promotional discounting, prime +50 bps.</t>
  </si>
  <si>
    <t>Model A booking forecast, TTM margins, recognition lags, deposit and working-capital ratios, current staffing and lease, prime flat.</t>
  </si>
  <si>
    <t>Bookings +5%, gross margin +2 pts, 10% of slow-moving stock cleared, supplier delays -15%, consultation conversion +10%, +5 supplier days.</t>
  </si>
  <si>
    <t>Calibrated / policy parameter (TTM Oct-2025 to Sep-2026 unless stated)</t>
  </si>
  <si>
    <t>Value</t>
  </si>
  <si>
    <t>w0</t>
  </si>
  <si>
    <t>Share of bookings handed off in the booking month</t>
  </si>
  <si>
    <t>w1</t>
  </si>
  <si>
    <t>... 1 month later</t>
  </si>
  <si>
    <t>w2</t>
  </si>
  <si>
    <t>... 2 months later</t>
  </si>
  <si>
    <t>w3</t>
  </si>
  <si>
    <t>... 3 months later</t>
  </si>
  <si>
    <t>w4</t>
  </si>
  <si>
    <t>... 4+ months later</t>
  </si>
  <si>
    <t>cancel_rate</t>
  </si>
  <si>
    <t>Bookings cancelled before hand-off (TTM)</t>
  </si>
  <si>
    <t>consult_share</t>
  </si>
  <si>
    <t>Share of bookings from design consultations</t>
  </si>
  <si>
    <t>disc_rate</t>
  </si>
  <si>
    <t>Discount rate (share of gross sales)</t>
  </si>
  <si>
    <t>return_rate</t>
  </si>
  <si>
    <t>Returns (share of net sales)</t>
  </si>
  <si>
    <t>other_rev_rate</t>
  </si>
  <si>
    <t>Plan commissions, restocking &amp; cancellation fees (share of net sales)</t>
  </si>
  <si>
    <t>cogs_ratio</t>
  </si>
  <si>
    <t>Merchandise COGS / net furniture sales (TTM)</t>
  </si>
  <si>
    <t>freight_ratio</t>
  </si>
  <si>
    <t>Freight-in / merchandise COGS</t>
  </si>
  <si>
    <t>var_ratio</t>
  </si>
  <si>
    <t>Inventory variances / merchandise COGS</t>
  </si>
  <si>
    <t>stock_share</t>
  </si>
  <si>
    <t>Share of COGS from stocked goods</t>
  </si>
  <si>
    <t>commission_rate</t>
  </si>
  <si>
    <t>Commission on bookings</t>
  </si>
  <si>
    <t>marketing_rate</t>
  </si>
  <si>
    <t>Marketing / prior-month bookings</t>
  </si>
  <si>
    <t>fee_rate</t>
  </si>
  <si>
    <t>Card &amp; financing fees / net revenue</t>
  </si>
  <si>
    <t>dep_ratio</t>
  </si>
  <si>
    <t>Customer deposits / open backlog incl. GST</t>
  </si>
  <si>
    <t>alloc_ratio</t>
  </si>
  <si>
    <t>Allocated inventory / customer deposits</t>
  </si>
  <si>
    <t>ar_ratio</t>
  </si>
  <si>
    <t>Receivables, months of net revenue</t>
  </si>
  <si>
    <t>dpo_base</t>
  </si>
  <si>
    <t>Supplier payment days (TTM)</t>
  </si>
  <si>
    <t>vendor_ap_ratio</t>
  </si>
  <si>
    <t>Vendor payables, months of vendor opex</t>
  </si>
  <si>
    <t>agent_ratio</t>
  </si>
  <si>
    <t>Agent liabilities / net furniture sales</t>
  </si>
  <si>
    <t>accrued_ratio</t>
  </si>
  <si>
    <t>Accrued payroll, months of payroll</t>
  </si>
  <si>
    <t>gst</t>
  </si>
  <si>
    <t>GST rate</t>
  </si>
  <si>
    <t>prime</t>
  </si>
  <si>
    <t>Prime rate</t>
  </si>
  <si>
    <t>term_spread</t>
  </si>
  <si>
    <t>Term-loan spread</t>
  </si>
  <si>
    <t>rev_spread</t>
  </si>
  <si>
    <t>Revolver spread</t>
  </si>
  <si>
    <t>rev_limit</t>
  </si>
  <si>
    <t>Revolver limit</t>
  </si>
  <si>
    <t>min_cash</t>
  </si>
  <si>
    <t>Minimum month-end cash</t>
  </si>
  <si>
    <t>target_cash</t>
  </si>
  <si>
    <t>Target cash after draw</t>
  </si>
  <si>
    <t>repay_above</t>
  </si>
  <si>
    <t>Repay revolver above</t>
  </si>
  <si>
    <t>step</t>
  </si>
  <si>
    <t>Draw/repay increment</t>
  </si>
  <si>
    <t>term_pmt</t>
  </si>
  <si>
    <t>Term-loan principal / month</t>
  </si>
  <si>
    <t>payout</t>
  </si>
  <si>
    <t>Dividend payout ratio</t>
  </si>
  <si>
    <t>cash_floor</t>
  </si>
  <si>
    <t>Cash floor after dividend</t>
  </si>
  <si>
    <t>slow_value</t>
  </si>
  <si>
    <t>Slow-moving (&gt;180 days cover) stock at 30-Sep-2026</t>
  </si>
  <si>
    <t>markdown_rate</t>
  </si>
  <si>
    <t>Markdown loss on cleared stock</t>
  </si>
  <si>
    <t>new_capex_life</t>
  </si>
  <si>
    <t>Useful life of new capex (months)</t>
  </si>
  <si>
    <t>tax_small</t>
  </si>
  <si>
    <t>Small-business tax rate</t>
  </si>
  <si>
    <t>tax_general</t>
  </si>
  <si>
    <t>General tax rate</t>
  </si>
  <si>
    <t>sbd_limit</t>
  </si>
  <si>
    <t>Small-business limit</t>
  </si>
  <si>
    <t>Monthly drivers (inputs) - base volumes from Model 1, staffing plan, lease, marketing plan, capex plan, inventory policy</t>
  </si>
  <si>
    <t>Edit any blue cell; the forecast recalculates. Column C = actual 30-Sep-2026 position (not used by drivers).</t>
  </si>
  <si>
    <t>Line</t>
  </si>
  <si>
    <t>Sep-2026 actual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</si>
  <si>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</si>
  <si>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</si>
  <si>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</si>
  <si>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</si>
  <si>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</si>
  <si>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</si>
  <si>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</si>
  <si>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</si>
  <si>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</si>
  <si>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</si>
  <si>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</si>
  <si>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</si>
  <si>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12-month total</t>
  </si>
  <si>
    <t>bookings_base</t>
  </si>
  <si>
    <t>Bookings - Model A forecast of written net sales</t>
  </si>
  <si>
    <t>backlog_release</t>
  </si>
  <si>
    <t>Opening backlog released (expected hand-off of open orders)</t>
  </si>
  <si>
    <t>payroll_base</t>
  </si>
  <si>
    <t>Payroll staffing plan (TTM same month +3%, excl. commission)</t>
  </si>
  <si>
    <t>occupancy_d</t>
  </si>
  <si>
    <t>Occupancy: lease schedule (+3% Jan) + utilities seasonal</t>
  </si>
  <si>
    <t>ga_d</t>
  </si>
  <si>
    <t>General &amp; administrative (insurance, professional, IT)</t>
  </si>
  <si>
    <t>warehouse_d</t>
  </si>
  <si>
    <t>Warehouse, fulfilment &amp; design-consult costs</t>
  </si>
  <si>
    <t>taxable_opex</t>
  </si>
  <si>
    <t>GST-taxable operating expenses (for ITCs and vendor payables)</t>
  </si>
  <si>
    <t>insurance_exp</t>
  </si>
  <si>
    <t>Insurance expense</t>
  </si>
  <si>
    <t>insurance_premium</t>
  </si>
  <si>
    <t>Insurance premium paid (January)</t>
  </si>
  <si>
    <t>capex_d</t>
  </si>
  <si>
    <t>Capital expenditure plan</t>
  </si>
  <si>
    <t>da_existing</t>
  </si>
  <si>
    <t>Depreciation - existing asset register</t>
  </si>
  <si>
    <t>cover_k</t>
  </si>
  <si>
    <t>Stocked inventory: months of forward cover (seasonal, from history)</t>
  </si>
  <si>
    <t>bookings_hist_last</t>
  </si>
  <si>
    <t>Bookings of the last actual month (Sep-2026)</t>
  </si>
  <si>
    <t>is_m1</t>
  </si>
  <si>
    <t>Flag: first forecast month</t>
  </si>
  <si>
    <t>is_jan</t>
  </si>
  <si>
    <t>Flag: January</t>
  </si>
  <si>
    <t>is_mar</t>
  </si>
  <si>
    <t>Flag: March</t>
  </si>
  <si>
    <t>is_dec</t>
  </si>
  <si>
    <t>Flag: December</t>
  </si>
  <si>
    <t>q_start</t>
  </si>
  <si>
    <t>Flag: first month of quarter</t>
  </si>
  <si>
    <t>Integrated 12-month forecast Oct-2026 to Sep-2027 (FORECAST - not historical fact)</t>
  </si>
  <si>
    <t>Every cell in columns D:O is a formula driven by Assumptions (active scenario) and Drivers. Column C links to the historical ledger.</t>
  </si>
  <si>
    <t>INCOME STATEMENT (forecast)</t>
  </si>
  <si>
    <t>gross_sales</t>
  </si>
  <si>
    <t>Gross furniture sales</t>
  </si>
  <si>
    <t>discounts</t>
  </si>
  <si>
    <t>Less: discounts &amp; promotional allowances</t>
  </si>
  <si>
    <t>returns</t>
  </si>
  <si>
    <t>Less: sales returns</t>
  </si>
  <si>
    <t>net_sales</t>
  </si>
  <si>
    <t>Net furniture sales (recognised at hand-off)</t>
  </si>
  <si>
    <t>other_rev</t>
  </si>
  <si>
    <t>Plan commissions, restocking &amp; cancellation fees</t>
  </si>
  <si>
    <t>net_rev</t>
  </si>
  <si>
    <t>Total net revenue</t>
  </si>
  <si>
    <t>cogs_merch</t>
  </si>
  <si>
    <t>Cost of goods sold - merchandise</t>
  </si>
  <si>
    <t>freight_in</t>
  </si>
  <si>
    <t>Freight-in &amp; supplier charges</t>
  </si>
  <si>
    <t>inv_var</t>
  </si>
  <si>
    <t>Inventory variances &amp; markdowns</t>
  </si>
  <si>
    <t>cogs</t>
  </si>
  <si>
    <t>Cost of goods sold</t>
  </si>
  <si>
    <t>gross_profit</t>
  </si>
  <si>
    <t>Gross profit</t>
  </si>
  <si>
    <t>emp_comp</t>
  </si>
  <si>
    <t>Employee compensation</t>
  </si>
  <si>
    <t>occupancy</t>
  </si>
  <si>
    <t>Occupancy (lease schedule, utilities)</t>
  </si>
  <si>
    <t>marketing</t>
  </si>
  <si>
    <t>Marketing &amp; advertising</t>
  </si>
  <si>
    <t>g_and_a</t>
  </si>
  <si>
    <t>General &amp; administrative</t>
  </si>
  <si>
    <t>warehouse</t>
  </si>
  <si>
    <t>fees</t>
  </si>
  <si>
    <t>Card &amp; financing-partner fees</t>
  </si>
  <si>
    <t>opex</t>
  </si>
  <si>
    <t>Operating expenses (before depreciation)</t>
  </si>
  <si>
    <t>ebitda</t>
  </si>
  <si>
    <t>EBITDA</t>
  </si>
  <si>
    <t>da</t>
  </si>
  <si>
    <t>Depreciation</t>
  </si>
  <si>
    <t>ebit</t>
  </si>
  <si>
    <t>Operating income (EBIT)</t>
  </si>
  <si>
    <t>interest</t>
  </si>
  <si>
    <t>Interest expense</t>
  </si>
  <si>
    <t>pbt</t>
  </si>
  <si>
    <t>Income before tax</t>
  </si>
  <si>
    <t>tax</t>
  </si>
  <si>
    <t>Income taxes</t>
  </si>
  <si>
    <t>net_income</t>
  </si>
  <si>
    <t>Net income</t>
  </si>
  <si>
    <t>BALANCE SHEET (forecast; column C = actual 30-Sep-2026 from the general ledger)</t>
  </si>
  <si>
    <t>cash</t>
  </si>
  <si>
    <t>Cash</t>
  </si>
  <si>
    <t>ar</t>
  </si>
  <si>
    <t>Receivables</t>
  </si>
  <si>
    <t>inv_stock</t>
  </si>
  <si>
    <t>Inventory - stocked merchandise</t>
  </si>
  <si>
    <t>inv_alloc</t>
  </si>
  <si>
    <t>Inventory - allocated to customer orders</t>
  </si>
  <si>
    <t>prepaid</t>
  </si>
  <si>
    <t>Prepaid expenses</t>
  </si>
  <si>
    <t>gst_rec</t>
  </si>
  <si>
    <t>GST recoverable</t>
  </si>
  <si>
    <t>current_assets</t>
  </si>
  <si>
    <t>Total current assets</t>
  </si>
  <si>
    <t>ppe_gross</t>
  </si>
  <si>
    <t>Fixed assets at cost</t>
  </si>
  <si>
    <t>acc_dep</t>
  </si>
  <si>
    <t>Accumulated depreciation</t>
  </si>
  <si>
    <t>ppe_net</t>
  </si>
  <si>
    <t>Net fixed assets</t>
  </si>
  <si>
    <t>total_assets</t>
  </si>
  <si>
    <t>TOTAL ASSETS</t>
  </si>
  <si>
    <t>ap</t>
  </si>
  <si>
    <t>Accounts payable</t>
  </si>
  <si>
    <t>accrued</t>
  </si>
  <si>
    <t>Accrued payroll &amp; commissions</t>
  </si>
  <si>
    <t>deposits</t>
  </si>
  <si>
    <t>Customer deposits (contract liabilities)</t>
  </si>
  <si>
    <t>agent</t>
  </si>
  <si>
    <t>Amounts collected as agent</t>
  </si>
  <si>
    <t>gst_pay</t>
  </si>
  <si>
    <t>GST payable</t>
  </si>
  <si>
    <t>tax_payable</t>
  </si>
  <si>
    <t>Income taxes payable</t>
  </si>
  <si>
    <t>revolver</t>
  </si>
  <si>
    <t>Revolving line of credit</t>
  </si>
  <si>
    <t>term_current</t>
  </si>
  <si>
    <t>Current portion of term loan</t>
  </si>
  <si>
    <t>current_liabilities</t>
  </si>
  <si>
    <t>Total current liabilities</t>
  </si>
  <si>
    <t>term_lt</t>
  </si>
  <si>
    <t>Term loan (non-current)</t>
  </si>
  <si>
    <t>total_liabilities</t>
  </si>
  <si>
    <t>TOTAL LIABILITIES</t>
  </si>
  <si>
    <t>share_capital</t>
  </si>
  <si>
    <t>Share capital</t>
  </si>
  <si>
    <t>retained</t>
  </si>
  <si>
    <t>Retained earnings</t>
  </si>
  <si>
    <t>cpe</t>
  </si>
  <si>
    <t>Current-year earnings</t>
  </si>
  <si>
    <t>total_equity</t>
  </si>
  <si>
    <t>TOTAL EQUITY</t>
  </si>
  <si>
    <t>total_le</t>
  </si>
  <si>
    <t>TOTAL LIABILITIES AND EQUITY</t>
  </si>
  <si>
    <t>CASH FLOW STATEMENT (indirect method)</t>
  </si>
  <si>
    <t>cf_ni</t>
  </si>
  <si>
    <t>cf_da</t>
  </si>
  <si>
    <t>d_ar</t>
  </si>
  <si>
    <t>(Increase) decrease in receivables</t>
  </si>
  <si>
    <t>d_inv</t>
  </si>
  <si>
    <t>Inventory investment: (increase) decrease in inventory</t>
  </si>
  <si>
    <t>d_ap</t>
  </si>
  <si>
    <t>Increase (decrease) in accounts payable</t>
  </si>
  <si>
    <t>d_deposits</t>
  </si>
  <si>
    <t>Increase (decrease) in customer deposits</t>
  </si>
  <si>
    <t>d_other</t>
  </si>
  <si>
    <t>Other working capital (prepaid, accrued, agent, GST, tax)</t>
  </si>
  <si>
    <t>cfo</t>
  </si>
  <si>
    <t>Net cash from operating activities</t>
  </si>
  <si>
    <t>cfi</t>
  </si>
  <si>
    <t>Capital expenditures</t>
  </si>
  <si>
    <t>term_repay</t>
  </si>
  <si>
    <t>Term-loan repayments</t>
  </si>
  <si>
    <t>rev_draw</t>
  </si>
  <si>
    <t>Revolver draws</t>
  </si>
  <si>
    <t>rev_repay</t>
  </si>
  <si>
    <t>Revolver repayments</t>
  </si>
  <si>
    <t>dividends</t>
  </si>
  <si>
    <t>Dividends paid</t>
  </si>
  <si>
    <t>cff</t>
  </si>
  <si>
    <t>Net cash from (used in) financing activities</t>
  </si>
  <si>
    <t>net_change</t>
  </si>
  <si>
    <t>Net change in cash</t>
  </si>
  <si>
    <t>CHECKS</t>
  </si>
  <si>
    <t>check_bs</t>
  </si>
  <si>
    <t>Check: assets - liabilities - equity (must be 0)</t>
  </si>
  <si>
    <t>check_cash</t>
  </si>
  <si>
    <t>Check: ending cash - (opening cash + net change) (must be 0)</t>
  </si>
  <si>
    <t>SUPPORTING SCHEDULES - bookings, recognition lags &amp; order backlog</t>
  </si>
  <si>
    <t>bookings</t>
  </si>
  <si>
    <t>Bookings - written net sales (Model A x scenario)</t>
  </si>
  <si>
    <t>w1e</t>
  </si>
  <si>
    <t>Lag weight 1 month (delay-adjusted)</t>
  </si>
  <si>
    <t>w2e</t>
  </si>
  <si>
    <t>Lag weight 2 months (delay-adjusted)</t>
  </si>
  <si>
    <t>w3e</t>
  </si>
  <si>
    <t>Lag weight 3 months (delay-adjusted)</t>
  </si>
  <si>
    <t>w4e</t>
  </si>
  <si>
    <t>Lag weight 4+ months (delay-adjusted)</t>
  </si>
  <si>
    <t>cancel_eff</t>
  </si>
  <si>
    <t>Cancellation rate (falls with fewer delays)</t>
  </si>
  <si>
    <t>backlog</t>
  </si>
  <si>
    <t>Open order backlog (net, memo)</t>
  </si>
  <si>
    <t>SUPPORTING SCHEDULES - payroll, inventory investment &amp; capex</t>
  </si>
  <si>
    <t>payroll</t>
  </si>
  <si>
    <t>Payroll (staffing plan + commissions)</t>
  </si>
  <si>
    <t>stock_target</t>
  </si>
  <si>
    <t>Stocked-inventory target (cover x forward COGS, less cleared slow stock)</t>
  </si>
  <si>
    <t>purchases</t>
  </si>
  <si>
    <t>Inventory purchases at cost</t>
  </si>
  <si>
    <t>capex_cum</t>
  </si>
  <si>
    <t>Cumulative new capex (memo)</t>
  </si>
  <si>
    <t>SUPPORTING SCHEDULES - working capital &amp; financing</t>
  </si>
  <si>
    <t>gst_net</t>
  </si>
  <si>
    <t>Net GST payable / (recoverable) (memo)</t>
  </si>
  <si>
    <t>gst_remit</t>
  </si>
  <si>
    <t>GST remitted for prior quarter (memo)</t>
  </si>
  <si>
    <t>working_capital</t>
  </si>
  <si>
    <t>Working capital (memo)</t>
  </si>
  <si>
    <t>pre_cash</t>
  </si>
  <si>
    <t>Cash before revolver (memo)</t>
  </si>
  <si>
    <t>term_loan</t>
  </si>
  <si>
    <t>Term-loan balance (memo)</t>
  </si>
  <si>
    <t>SUPPORTING SCHEDULES - tax &amp; dividends</t>
  </si>
  <si>
    <t>ytd_pbt</t>
  </si>
  <si>
    <t>Fiscal YTD income before tax (memo)</t>
  </si>
  <si>
    <t>lcf</t>
  </si>
  <si>
    <t>Loss carry-forward at 1 January (memo)</t>
  </si>
  <si>
    <t>tax_ytd</t>
  </si>
  <si>
    <t>Fiscal YTD income tax (memo)</t>
  </si>
  <si>
    <t>prior_tax</t>
  </si>
  <si>
    <t>Prior-year tax awaiting payment (memo)</t>
  </si>
  <si>
    <t>tax_paid</t>
  </si>
  <si>
    <t>Income tax paid (memo)</t>
  </si>
  <si>
    <t>ytd_ni</t>
  </si>
  <si>
    <t>Fiscal YTD net income (memo)</t>
  </si>
  <si>
    <t>Scenario comparison and sensitivity analysis (values computed by the Python engine at build time)</t>
  </si>
  <si>
    <t>The Forecast sheet recalculates live for the scenario selected on Assumptions; this sheet stores all three for comparison.</t>
  </si>
  <si>
    <t>net_revenue</t>
  </si>
  <si>
    <t>gross_margin_pct</t>
  </si>
  <si>
    <t>net_margin_pct</t>
  </si>
  <si>
    <t>closing_cash</t>
  </si>
  <si>
    <t>peak_revolver</t>
  </si>
  <si>
    <t>closing_deposits</t>
  </si>
  <si>
    <t>closing_inventory</t>
  </si>
  <si>
    <t>closing_working_capital</t>
  </si>
  <si>
    <t>avg_working_capital</t>
  </si>
  <si>
    <t>max_abs_bs_check</t>
  </si>
  <si>
    <t>max_abs_cash_check</t>
  </si>
  <si>
    <t>Sensitivity analysis (one driver at a time vs Base)</t>
  </si>
  <si>
    <t>scenario</t>
  </si>
  <si>
    <t>driver</t>
  </si>
  <si>
    <t>value</t>
  </si>
  <si>
    <t>delta_net_revenue</t>
  </si>
  <si>
    <t>delta_gross_profit</t>
  </si>
  <si>
    <t>delta_net_income</t>
  </si>
  <si>
    <t>delta_cfo</t>
  </si>
  <si>
    <t>delta_closing_cash</t>
  </si>
  <si>
    <t>delta_working_capital</t>
  </si>
  <si>
    <t>5% sales volume increase</t>
  </si>
  <si>
    <t>2-pt gross-margin improvement</t>
  </si>
  <si>
    <t>10% reduction in slow-moving inventory</t>
  </si>
  <si>
    <t>15% reduction in supplier delays</t>
  </si>
  <si>
    <t>10% increase in design-consultation conversion</t>
  </si>
  <si>
    <t>Supplier terms +10 days</t>
  </si>
  <si>
    <t>Supplier terms -10 days</t>
  </si>
  <si>
    <t>Operating expenses -5%</t>
  </si>
  <si>
    <t>Operating expenses +5%</t>
  </si>
  <si>
    <t>Promotional discounts +2 pts</t>
  </si>
  <si>
    <t>Promotional discounts -2 pts</t>
  </si>
  <si>
    <t>Prime rate +100 bps</t>
  </si>
  <si>
    <t>LIVE: active scenario (formulas on the Forecast sheet)</t>
  </si>
  <si>
    <t>Net revenue</t>
  </si>
  <si>
    <t>Closing cash Sep-2027</t>
  </si>
  <si>
    <t>Peak revolver</t>
  </si>
  <si>
    <t>Customer deposits Sep-2027</t>
  </si>
  <si>
    <t>Max |balance-sheet check|</t>
  </si>
  <si>
    <t>Model integrity checks (live formulas - every value must be 0 / TRUE)</t>
  </si>
  <si>
    <t>Check</t>
  </si>
  <si>
    <t>Pass?</t>
  </si>
  <si>
    <t>Trial balance: max |sum of account balances| (Dec-2023 to Sep-2026)</t>
  </si>
  <si>
    <t>Historical balance sheet: max |assets - liabilities - equity|</t>
  </si>
  <si>
    <t>Historical cash flow: max |closing cash - balance-sheet cash|</t>
  </si>
  <si>
    <t>Forecast balance sheet: max |assets - liabilities - equity|</t>
  </si>
  <si>
    <t>Forecast cash flow: max |closing cash - balance-sheet cash|</t>
  </si>
  <si>
    <t>Forecast opening cash = historical closing cash (Sep-2026)</t>
  </si>
  <si>
    <t>ALL CHECKS PASS</t>
  </si>
  <si>
    <t>Historical income statements - illustrative Calgary management accounts (CAD)</t>
  </si>
  <si>
    <t>Monthly values from the general ledger; subtotal rows are live formulas. FY columns sum the months.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</si>
  <si>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</si>
  <si>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</si>
  <si>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</si>
  <si>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</si>
  <si>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</si>
  <si>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</si>
  <si>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</si>
  <si>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</si>
  <si>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</si>
  <si>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</si>
  <si>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</si>
  <si>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</si>
  <si>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</si>
  <si>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</si>
  <si>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</si>
  <si>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</si>
  <si>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</si>
  <si>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</si>
  <si>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</si>
  <si>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</si>
  <si>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</si>
  <si>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</si>
  <si>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</si>
  <si>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</si>
  <si>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</si>
  <si>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</si>
  <si>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</si>
  <si>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</si>
  <si>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</si>
  <si>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</si>
  <si>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</si>
  <si>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</si>
  <si>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</si>
  <si>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FY2024</t>
  </si>
  <si>
    <t>FY2025</t>
  </si>
  <si>
    <t>YTD Sep-2026</t>
  </si>
  <si>
    <t>Sofas &amp; sectionals</t>
  </si>
  <si>
    <t>sales_sofas</t>
  </si>
  <si>
    <t>Bedroom</t>
  </si>
  <si>
    <t>sales_bedroom</t>
  </si>
  <si>
    <t>Mattresses &amp; bases</t>
  </si>
  <si>
    <t>sales_mattress</t>
  </si>
  <si>
    <t>Dining</t>
  </si>
  <si>
    <t>sales_dining</t>
  </si>
  <si>
    <t>Living &amp; occasional</t>
  </si>
  <si>
    <t>sales_living</t>
  </si>
  <si>
    <t>Home office</t>
  </si>
  <si>
    <t>sales_office</t>
  </si>
  <si>
    <t>Décor &amp; lighting</t>
  </si>
  <si>
    <t>sales_decor</t>
  </si>
  <si>
    <t>Net furniture sales</t>
  </si>
  <si>
    <t>Protection-plan commissions (agent, net)</t>
  </si>
  <si>
    <t>plan_comm</t>
  </si>
  <si>
    <t>Restocking fees</t>
  </si>
  <si>
    <t>restock_fees</t>
  </si>
  <si>
    <t>Retained cancellation fees</t>
  </si>
  <si>
    <t>cancel_fees</t>
  </si>
  <si>
    <t>Inventory variances, shrinkage &amp; write-offs</t>
  </si>
  <si>
    <t>Employee compensation (incl. commissions &amp; designers)</t>
  </si>
  <si>
    <t>Occupancy (rent, CAM &amp; property tax, utilities)</t>
  </si>
  <si>
    <t>Historical balance sheets - month end (CAD)</t>
  </si>
  <si>
    <t>Receivables (card, financing partner, trade)</t>
  </si>
  <si>
    <t>Amounts collected as agent (carrier, insurer)</t>
  </si>
  <si>
    <t>Check: assets - liabilities - equity</t>
  </si>
  <si>
    <t>check</t>
  </si>
  <si>
    <t>Historical cash flow statements - indirect method (CAD)</t>
  </si>
  <si>
    <t>Increase (decrease) in accounts payable (supplier &amp; vendor credit)</t>
  </si>
  <si>
    <t>capex</t>
  </si>
  <si>
    <t>Net cash used in investing activities</t>
  </si>
  <si>
    <t>Opening cash</t>
  </si>
  <si>
    <t>open_cash</t>
  </si>
  <si>
    <t>Ending cash balance</t>
  </si>
  <si>
    <t>close_cash</t>
  </si>
  <si>
    <t>Cash per balance sheet</t>
  </si>
  <si>
    <t>bs_cash</t>
  </si>
  <si>
    <t>Check: ending cash - balance-sheet cash</t>
  </si>
  <si>
    <t>Month-end account balances from the general ledger (debit +, credit -)</t>
  </si>
  <si>
    <t>Post-closing at year ends. Each column must sum to zero (trial balance).</t>
  </si>
  <si>
    <t>Account</t>
  </si>
  <si>
    <t>Name</t>
  </si>
  <si>
    <t>2023-12</t>
  </si>
  <si>
    <t>1000</t>
  </si>
  <si>
    <t>Cash - operating account</t>
  </si>
  <si>
    <t>1100</t>
  </si>
  <si>
    <t>Card &amp; debit processor receivable</t>
  </si>
  <si>
    <t>1110</t>
  </si>
  <si>
    <t>Financing-partner receivable</t>
  </si>
  <si>
    <t>1120</t>
  </si>
  <si>
    <t>Trade receivables - designer &amp; business accounts</t>
  </si>
  <si>
    <t>1200</t>
  </si>
  <si>
    <t>1210</t>
  </si>
  <si>
    <t>Inventory - allocated to customer orders (custom &amp; reserved)</t>
  </si>
  <si>
    <t>1300</t>
  </si>
  <si>
    <t>1400</t>
  </si>
  <si>
    <t>GST input tax credits</t>
  </si>
  <si>
    <t>1500</t>
  </si>
  <si>
    <t>Leasehold improvements</t>
  </si>
  <si>
    <t>1510</t>
  </si>
  <si>
    <t>Warehouse equipment &amp; forklifts</t>
  </si>
  <si>
    <t>1520</t>
  </si>
  <si>
    <t>Showroom fixtures, POS &amp; IT</t>
  </si>
  <si>
    <t>1590</t>
  </si>
  <si>
    <t>2000</t>
  </si>
  <si>
    <t>Accounts payable - suppliers</t>
  </si>
  <si>
    <t>2010</t>
  </si>
  <si>
    <t>Accounts payable - operating vendors</t>
  </si>
  <si>
    <t>2100</t>
  </si>
  <si>
    <t>2300</t>
  </si>
  <si>
    <t>GST collected</t>
  </si>
  <si>
    <t>2350</t>
  </si>
  <si>
    <t>2360</t>
  </si>
  <si>
    <t>Delivery fees collected for partner carrier (agent)</t>
  </si>
  <si>
    <t>2370</t>
  </si>
  <si>
    <t>Protection-plan premiums payable to insurer (agent)</t>
  </si>
  <si>
    <t>2400</t>
  </si>
  <si>
    <t>Income tax payable</t>
  </si>
  <si>
    <t>2600</t>
  </si>
  <si>
    <t>Revolving operating line of credit</t>
  </si>
  <si>
    <t>2700</t>
  </si>
  <si>
    <t>Term loan</t>
  </si>
  <si>
    <t>3000</t>
  </si>
  <si>
    <t>3200</t>
  </si>
  <si>
    <t>3300</t>
  </si>
  <si>
    <t>Dividends declared</t>
  </si>
  <si>
    <t>4000</t>
  </si>
  <si>
    <t>Sales - sofas &amp; sectionals</t>
  </si>
  <si>
    <t>4010</t>
  </si>
  <si>
    <t>Sales - bedroom</t>
  </si>
  <si>
    <t>4020</t>
  </si>
  <si>
    <t>Sales - mattresses &amp; bases</t>
  </si>
  <si>
    <t>4030</t>
  </si>
  <si>
    <t>Sales - dining</t>
  </si>
  <si>
    <t>4040</t>
  </si>
  <si>
    <t>Sales - living &amp; occasional</t>
  </si>
  <si>
    <t>4050</t>
  </si>
  <si>
    <t>Sales - home office</t>
  </si>
  <si>
    <t>4060</t>
  </si>
  <si>
    <t>Sales - décor &amp; lighting</t>
  </si>
  <si>
    <t>4100</t>
  </si>
  <si>
    <t>Protection-plan commissions (net, agent)</t>
  </si>
  <si>
    <t>4200</t>
  </si>
  <si>
    <t>4300</t>
  </si>
  <si>
    <t>4900</t>
  </si>
  <si>
    <t>Discounts &amp; promotional allowances</t>
  </si>
  <si>
    <t>4910</t>
  </si>
  <si>
    <t>Sales returns</t>
  </si>
  <si>
    <t>5000</t>
  </si>
  <si>
    <t>5100</t>
  </si>
  <si>
    <t>5200</t>
  </si>
  <si>
    <t>6000</t>
  </si>
  <si>
    <t>Wages - sales associates</t>
  </si>
  <si>
    <t>6010</t>
  </si>
  <si>
    <t>Sales commissions</t>
  </si>
  <si>
    <t>6020</t>
  </si>
  <si>
    <t>Interior designer compensation</t>
  </si>
  <si>
    <t>6030</t>
  </si>
  <si>
    <t>Wages - warehouse</t>
  </si>
  <si>
    <t>6040</t>
  </si>
  <si>
    <t>Salaries - management &amp; administration</t>
  </si>
  <si>
    <t>6100</t>
  </si>
  <si>
    <t>Rent</t>
  </si>
  <si>
    <t>6105</t>
  </si>
  <si>
    <t>Common-area &amp; property tax charges</t>
  </si>
  <si>
    <t>6110</t>
  </si>
  <si>
    <t>Utilities</t>
  </si>
  <si>
    <t>6200</t>
  </si>
  <si>
    <t>6300</t>
  </si>
  <si>
    <t>Insurance</t>
  </si>
  <si>
    <t>6310</t>
  </si>
  <si>
    <t>Administrative &amp; professional fees</t>
  </si>
  <si>
    <t>6320</t>
  </si>
  <si>
    <t>IT &amp; e-commerce platform</t>
  </si>
  <si>
    <t>6400</t>
  </si>
  <si>
    <t>Warehouse &amp; fulfilment operations</t>
  </si>
  <si>
    <t>6410</t>
  </si>
  <si>
    <t>Design consultation materials &amp; travel</t>
  </si>
  <si>
    <t>6420</t>
  </si>
  <si>
    <t>Card processing fees</t>
  </si>
  <si>
    <t>6430</t>
  </si>
  <si>
    <t>Financing-partner merchant fees</t>
  </si>
  <si>
    <t>6900</t>
  </si>
  <si>
    <t>7000</t>
  </si>
  <si>
    <t>Interest - term loan</t>
  </si>
  <si>
    <t>7010</t>
  </si>
  <si>
    <t>Interest - revolving line</t>
  </si>
  <si>
    <t>8000</t>
  </si>
  <si>
    <t>Income tax expense</t>
  </si>
  <si>
    <t>Check: sum of balances (must be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</si>
</sst>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;\(#,##0\);&quot;-&quot;"/>
    <numFmt numFmtId="167" formatCode="#,##0.00;\(#,##0.00\);&quot;-&quot;"/>
  </numFmts>
  <fonts count="11" x14ac:knownFonts="1">
    <font>
      <sz val="11"/>
      <color theme="1"/>
      <name val="Calibri"/>
      <family val="2"/>
      <scheme val="minor"/>
    </font>
    <font>
      <b/>
      <sz val="11"/>
      <color rgb="FF7A4A00"/>
      <name val="Calibri"/>
      <family val="2"/>
    </font>
    <font>
      <b/>
      <sz val="14"/>
      <color rgb="FF184F95"/>
      <name val="Calibri"/>
      <family val="2"/>
    </font>
    <font>
      <i/>
      <sz val="11"/>
      <color rgb="FF52514E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color rgb="FF898781"/>
      <name val="Calibri"/>
      <family val="2"/>
    </font>
    <font>
      <b/>
      <sz val="12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184F95"/>
      <name val="Calibri"/>
      <family val="2"/>
    </font>
    <font>
      <b/>
      <sz val="11"/>
      <color rgb="FF184F9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4E5"/>
      </patternFill>
    </fill>
    <fill>
      <patternFill patternType="solid">
        <fgColor rgb="FF0B1120"/>
      </patternFill>
    </fill>
    <fill>
      <patternFill patternType="solid">
        <fgColor rgb="FFEAF2FC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5" fillId="0" borderId="0" xfId="0" applyFont="1"/>
    <xf numFmtId="0" fontId="7" fillId="5" borderId="0" xfId="0" applyFont="1" applyFill="1"/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wrapText="1"/>
    </xf>
    <xf numFmtId="0" fontId="6" fillId="0" borderId="0" xfId="0" applyFont="1"/>
    <xf numFmtId="164" fontId="8" fillId="5" borderId="0" xfId="0" applyNumberFormat="1" applyFont="1" applyFill="1"/>
    <xf numFmtId="164" fontId="0" fillId="0" borderId="0" xfId="0" applyNumberFormat="1"/>
    <xf numFmtId="165" fontId="8" fillId="5" borderId="0" xfId="0" applyNumberFormat="1" applyFont="1" applyFill="1"/>
    <xf numFmtId="166" fontId="8" fillId="5" borderId="0" xfId="0" applyNumberFormat="1" applyFont="1" applyFill="1"/>
    <xf numFmtId="2" fontId="8" fillId="5" borderId="0" xfId="0" applyNumberFormat="1" applyFont="1" applyFill="1"/>
    <xf numFmtId="1" fontId="8" fillId="5" borderId="0" xfId="0" applyNumberFormat="1" applyFont="1" applyFill="1"/>
    <xf numFmtId="0" fontId="9" fillId="0" borderId="0" xfId="0" applyFont="1"/>
    <xf numFmtId="0" fontId="5" fillId="4" borderId="1" xfId="0" applyFont="1" applyFill="1" applyBorder="1"/>
    <xf numFmtId="166" fontId="5" fillId="4" borderId="1" xfId="0" applyNumberFormat="1" applyFont="1" applyFill="1" applyBorder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167" fontId="5" fillId="4" borderId="1" xfId="0" applyNumberFormat="1" applyFont="1" applyFill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1" width="160" customWidth="1"/>
  </cols>
  <sheetData>
    <row r="1" spans="1:8" x14ac:dyDescent="0.2">
      <c r="A1" s="22" t="s">
        <v>0</v>
      </c>
      <c r="B1" s="23"/>
      <c r="C1" s="23"/>
      <c r="D1" s="23"/>
      <c r="E1" s="23"/>
      <c r="F1" s="23"/>
      <c r="G1" s="23"/>
      <c r="H1" s="23"/>
    </row>
    <row r="2" spans="1:8" ht="19" x14ac:dyDescent="0.25">
      <c r="A2" s="1" t="s">
        <v>1</v>
      </c>
    </row>
    <row r="3" spans="1:8" x14ac:dyDescent="0.2">
      <c r="A3" s="2" t="s">
        <v>2</v>
      </c>
    </row>
    <row r="5" spans="1:8" x14ac:dyDescent="0.2">
      <c r="A5" s="3" t="s">
        <v>3</v>
      </c>
    </row>
    <row r="6" spans="1:8" x14ac:dyDescent="0.2">
      <c r="A6" t="s">
        <v>4</v>
      </c>
    </row>
    <row r="7" spans="1:8" x14ac:dyDescent="0.2">
      <c r="A7" t="s">
        <v>5</v>
      </c>
    </row>
    <row r="9" spans="1:8" x14ac:dyDescent="0.2">
      <c r="A9" s="3" t="s">
        <v>6</v>
      </c>
    </row>
    <row r="10" spans="1:8" x14ac:dyDescent="0.2">
      <c r="A10" t="s">
        <v>7</v>
      </c>
    </row>
    <row r="11" spans="1:8" x14ac:dyDescent="0.2">
      <c r="A11" t="s">
        <v>8</v>
      </c>
    </row>
    <row r="12" spans="1:8" x14ac:dyDescent="0.2">
      <c r="A12" t="s">
        <v>9</v>
      </c>
    </row>
    <row r="13" spans="1:8" x14ac:dyDescent="0.2">
      <c r="A13" t="s">
        <v>10</v>
      </c>
    </row>
    <row r="15" spans="1:8" x14ac:dyDescent="0.2">
      <c r="A15" s="3" t="s">
        <v>11</v>
      </c>
    </row>
    <row r="16" spans="1:8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20" spans="1:1" x14ac:dyDescent="0.2">
      <c r="A20" s="3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4" spans="1:1" x14ac:dyDescent="0.2">
      <c r="A24" s="3" t="s">
        <v>18</v>
      </c>
    </row>
    <row r="25" spans="1:1" x14ac:dyDescent="0.2">
      <c r="A25" t="s">
        <v>19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showGridLines="0" workbookViewId="0"/>
  </sheetViews>
  <sheetFormatPr baseColWidth="10" defaultColWidth="8.83203125" defaultRowHeight="15" x14ac:dyDescent="0.2"/>
  <cols>
    <col min="1" max="1" width="15" customWidth="1"/>
    <col min="2" max="2" width="58" customWidth="1"/>
    <col min="3" max="7" width="13" customWidth="1"/>
    <col min="8" max="8" width="14" customWidth="1"/>
  </cols>
  <sheetData>
    <row r="1" spans="1:9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9" x14ac:dyDescent="0.25">
      <c r="A2" s="1" t="s">
        <v>20</v>
      </c>
    </row>
    <row r="3" spans="1:9" x14ac:dyDescent="0.2">
      <c r="A3" s="2" t="s">
        <v>21</v>
      </c>
    </row>
    <row r="4" spans="1:9" ht="16" x14ac:dyDescent="0.2">
      <c r="B4" s="4" t="s">
        <v>22</v>
      </c>
      <c r="C4" s="5" t="s">
        <v>23</v>
      </c>
    </row>
    <row r="7" spans="1:9" ht="16" x14ac:dyDescent="0.2">
      <c r="A7" s="6" t="s">
        <v>24</v>
      </c>
      <c r="B7" s="7" t="s">
        <v>25</v>
      </c>
      <c r="C7" s="7" t="s">
        <v>26</v>
      </c>
      <c r="D7" s="7" t="s">
        <v>27</v>
      </c>
      <c r="E7" s="7" t="s">
        <v>23</v>
      </c>
      <c r="F7" s="7" t="s">
        <v>28</v>
      </c>
      <c r="G7" s="7" t="s">
        <v>29</v>
      </c>
      <c r="H7" s="7" t="s">
        <v>30</v>
      </c>
    </row>
    <row r="8" spans="1:9" x14ac:dyDescent="0.2">
      <c r="A8" s="8" t="s">
        <v>31</v>
      </c>
      <c r="B8" t="s">
        <v>32</v>
      </c>
      <c r="C8" t="s">
        <v>33</v>
      </c>
      <c r="D8" s="9">
        <v>-7.0000000000000007E-2</v>
      </c>
      <c r="E8" s="9">
        <v>0</v>
      </c>
      <c r="F8" s="9">
        <v>0.05</v>
      </c>
      <c r="G8" s="9">
        <v>0</v>
      </c>
      <c r="H8" s="10">
        <f t="shared" ref="H8:H16" si="0">INDEX(D8:G8,MATCH($C$4,$D$7:$G$7,0))</f>
        <v>0</v>
      </c>
    </row>
    <row r="9" spans="1:9" x14ac:dyDescent="0.2">
      <c r="A9" s="8" t="s">
        <v>34</v>
      </c>
      <c r="B9" t="s">
        <v>35</v>
      </c>
      <c r="C9" t="s">
        <v>36</v>
      </c>
      <c r="D9" s="9">
        <v>-0.01</v>
      </c>
      <c r="E9" s="9">
        <v>0</v>
      </c>
      <c r="F9" s="9">
        <v>0.02</v>
      </c>
      <c r="G9" s="9">
        <v>0</v>
      </c>
      <c r="H9" s="10">
        <f t="shared" si="0"/>
        <v>0</v>
      </c>
    </row>
    <row r="10" spans="1:9" x14ac:dyDescent="0.2">
      <c r="A10" s="8" t="s">
        <v>37</v>
      </c>
      <c r="B10" t="s">
        <v>38</v>
      </c>
      <c r="C10" t="s">
        <v>33</v>
      </c>
      <c r="D10" s="9">
        <v>0</v>
      </c>
      <c r="E10" s="9">
        <v>0</v>
      </c>
      <c r="F10" s="9">
        <v>0.1</v>
      </c>
      <c r="G10" s="9">
        <v>0</v>
      </c>
      <c r="H10" s="10">
        <f t="shared" si="0"/>
        <v>0</v>
      </c>
    </row>
    <row r="11" spans="1:9" x14ac:dyDescent="0.2">
      <c r="A11" s="8" t="s">
        <v>39</v>
      </c>
      <c r="B11" t="s">
        <v>40</v>
      </c>
      <c r="C11" t="s">
        <v>33</v>
      </c>
      <c r="D11" s="9">
        <v>-0.15</v>
      </c>
      <c r="E11" s="9">
        <v>0</v>
      </c>
      <c r="F11" s="9">
        <v>0.15</v>
      </c>
      <c r="G11" s="9">
        <v>0</v>
      </c>
      <c r="H11" s="10">
        <f t="shared" si="0"/>
        <v>0</v>
      </c>
    </row>
    <row r="12" spans="1:9" x14ac:dyDescent="0.2">
      <c r="A12" s="8" t="s">
        <v>41</v>
      </c>
      <c r="B12" t="s">
        <v>42</v>
      </c>
      <c r="C12" t="s">
        <v>33</v>
      </c>
      <c r="D12" s="9">
        <v>0</v>
      </c>
      <c r="E12" s="9">
        <v>0</v>
      </c>
      <c r="F12" s="9">
        <v>0.1</v>
      </c>
      <c r="G12" s="9">
        <v>0</v>
      </c>
      <c r="H12" s="10">
        <f t="shared" si="0"/>
        <v>0</v>
      </c>
    </row>
    <row r="13" spans="1:9" x14ac:dyDescent="0.2">
      <c r="A13" s="8" t="s">
        <v>43</v>
      </c>
      <c r="B13" t="s">
        <v>44</v>
      </c>
      <c r="C13" t="s">
        <v>45</v>
      </c>
      <c r="D13" s="9">
        <v>-5</v>
      </c>
      <c r="E13" s="9">
        <v>0</v>
      </c>
      <c r="F13" s="9">
        <v>5</v>
      </c>
      <c r="G13" s="9">
        <v>0</v>
      </c>
      <c r="H13" s="10">
        <f t="shared" si="0"/>
        <v>0</v>
      </c>
    </row>
    <row r="14" spans="1:9" x14ac:dyDescent="0.2">
      <c r="A14" s="8" t="s">
        <v>46</v>
      </c>
      <c r="B14" t="s">
        <v>47</v>
      </c>
      <c r="C14" t="s">
        <v>33</v>
      </c>
      <c r="D14" s="9">
        <v>0.02</v>
      </c>
      <c r="E14" s="9">
        <v>0</v>
      </c>
      <c r="F14" s="9">
        <v>0</v>
      </c>
      <c r="G14" s="9">
        <v>0</v>
      </c>
      <c r="H14" s="10">
        <f t="shared" si="0"/>
        <v>0</v>
      </c>
    </row>
    <row r="15" spans="1:9" x14ac:dyDescent="0.2">
      <c r="A15" s="8" t="s">
        <v>48</v>
      </c>
      <c r="B15" t="s">
        <v>49</v>
      </c>
      <c r="C15" t="s">
        <v>36</v>
      </c>
      <c r="D15" s="9">
        <v>0.01</v>
      </c>
      <c r="E15" s="9">
        <v>0</v>
      </c>
      <c r="F15" s="9">
        <v>0</v>
      </c>
      <c r="G15" s="9">
        <v>0</v>
      </c>
      <c r="H15" s="10">
        <f t="shared" si="0"/>
        <v>0</v>
      </c>
    </row>
    <row r="16" spans="1:9" x14ac:dyDescent="0.2">
      <c r="A16" s="8" t="s">
        <v>50</v>
      </c>
      <c r="B16" t="s">
        <v>51</v>
      </c>
      <c r="C16" t="s">
        <v>33</v>
      </c>
      <c r="D16" s="9">
        <v>5.0000000000000001E-3</v>
      </c>
      <c r="E16" s="9">
        <v>0</v>
      </c>
      <c r="F16" s="9">
        <v>0</v>
      </c>
      <c r="G16" s="9">
        <v>0</v>
      </c>
      <c r="H16" s="10">
        <f t="shared" si="0"/>
        <v>0</v>
      </c>
    </row>
    <row r="18" spans="1:8" x14ac:dyDescent="0.2">
      <c r="B18" s="4" t="s">
        <v>52</v>
      </c>
    </row>
    <row r="19" spans="1:8" x14ac:dyDescent="0.2">
      <c r="B19" s="4" t="s">
        <v>27</v>
      </c>
      <c r="C19" t="s">
        <v>53</v>
      </c>
    </row>
    <row r="20" spans="1:8" x14ac:dyDescent="0.2">
      <c r="B20" s="4" t="s">
        <v>23</v>
      </c>
      <c r="C20" t="s">
        <v>54</v>
      </c>
    </row>
    <row r="21" spans="1:8" x14ac:dyDescent="0.2">
      <c r="B21" s="4" t="s">
        <v>28</v>
      </c>
      <c r="C21" t="s">
        <v>55</v>
      </c>
    </row>
    <row r="23" spans="1:8" ht="16" x14ac:dyDescent="0.2">
      <c r="A23" s="6" t="s">
        <v>24</v>
      </c>
      <c r="B23" s="7" t="s">
        <v>56</v>
      </c>
      <c r="C23" s="7"/>
      <c r="D23" s="7"/>
      <c r="E23" s="7"/>
      <c r="F23" s="7"/>
      <c r="G23" s="7"/>
      <c r="H23" s="7" t="s">
        <v>57</v>
      </c>
    </row>
    <row r="24" spans="1:8" x14ac:dyDescent="0.2">
      <c r="A24" s="8" t="s">
        <v>58</v>
      </c>
      <c r="B24" t="s">
        <v>59</v>
      </c>
      <c r="H24" s="11">
        <v>0.29289104835951218</v>
      </c>
    </row>
    <row r="25" spans="1:8" x14ac:dyDescent="0.2">
      <c r="A25" s="8" t="s">
        <v>60</v>
      </c>
      <c r="B25" t="s">
        <v>61</v>
      </c>
      <c r="H25" s="11">
        <v>0.25287684168505692</v>
      </c>
    </row>
    <row r="26" spans="1:8" x14ac:dyDescent="0.2">
      <c r="A26" s="8" t="s">
        <v>62</v>
      </c>
      <c r="B26" t="s">
        <v>63</v>
      </c>
      <c r="H26" s="11">
        <v>0.35472418852599069</v>
      </c>
    </row>
    <row r="27" spans="1:8" x14ac:dyDescent="0.2">
      <c r="A27" s="8" t="s">
        <v>64</v>
      </c>
      <c r="B27" t="s">
        <v>65</v>
      </c>
      <c r="H27" s="11">
        <v>8.8573251876798681E-2</v>
      </c>
    </row>
    <row r="28" spans="1:8" x14ac:dyDescent="0.2">
      <c r="A28" s="8" t="s">
        <v>66</v>
      </c>
      <c r="B28" t="s">
        <v>67</v>
      </c>
      <c r="H28" s="11">
        <v>1.09346695526415E-2</v>
      </c>
    </row>
    <row r="29" spans="1:8" x14ac:dyDescent="0.2">
      <c r="A29" s="8" t="s">
        <v>68</v>
      </c>
      <c r="B29" t="s">
        <v>69</v>
      </c>
      <c r="H29" s="11">
        <v>3.257766727302526E-2</v>
      </c>
    </row>
    <row r="30" spans="1:8" x14ac:dyDescent="0.2">
      <c r="A30" s="8" t="s">
        <v>70</v>
      </c>
      <c r="B30" t="s">
        <v>71</v>
      </c>
      <c r="H30" s="11">
        <v>0.2556706091425866</v>
      </c>
    </row>
    <row r="31" spans="1:8" x14ac:dyDescent="0.2">
      <c r="A31" s="8" t="s">
        <v>72</v>
      </c>
      <c r="B31" t="s">
        <v>73</v>
      </c>
      <c r="H31" s="11">
        <v>5.8824344488727573E-2</v>
      </c>
    </row>
    <row r="32" spans="1:8" x14ac:dyDescent="0.2">
      <c r="A32" s="8" t="s">
        <v>74</v>
      </c>
      <c r="B32" t="s">
        <v>75</v>
      </c>
      <c r="H32" s="11">
        <v>9.2586302237917962E-3</v>
      </c>
    </row>
    <row r="33" spans="1:8" x14ac:dyDescent="0.2">
      <c r="A33" s="8" t="s">
        <v>76</v>
      </c>
      <c r="B33" t="s">
        <v>77</v>
      </c>
      <c r="H33" s="11">
        <v>8.9839109947433375E-3</v>
      </c>
    </row>
    <row r="34" spans="1:8" x14ac:dyDescent="0.2">
      <c r="A34" s="8" t="s">
        <v>78</v>
      </c>
      <c r="B34" t="s">
        <v>79</v>
      </c>
      <c r="H34" s="11">
        <v>0.54681712163844398</v>
      </c>
    </row>
    <row r="35" spans="1:8" x14ac:dyDescent="0.2">
      <c r="A35" s="8" t="s">
        <v>80</v>
      </c>
      <c r="B35" t="s">
        <v>81</v>
      </c>
      <c r="H35" s="11">
        <v>4.1322910563319902E-2</v>
      </c>
    </row>
    <row r="36" spans="1:8" x14ac:dyDescent="0.2">
      <c r="A36" s="8" t="s">
        <v>82</v>
      </c>
      <c r="B36" t="s">
        <v>83</v>
      </c>
      <c r="H36" s="11">
        <v>1.0651022060021069E-2</v>
      </c>
    </row>
    <row r="37" spans="1:8" x14ac:dyDescent="0.2">
      <c r="A37" s="8" t="s">
        <v>84</v>
      </c>
      <c r="B37" t="s">
        <v>85</v>
      </c>
      <c r="H37" s="11">
        <v>0.70257345724118136</v>
      </c>
    </row>
    <row r="38" spans="1:8" x14ac:dyDescent="0.2">
      <c r="A38" s="8" t="s">
        <v>86</v>
      </c>
      <c r="B38" t="s">
        <v>87</v>
      </c>
      <c r="H38" s="11">
        <v>1.677907115547838E-2</v>
      </c>
    </row>
    <row r="39" spans="1:8" x14ac:dyDescent="0.2">
      <c r="A39" s="8" t="s">
        <v>88</v>
      </c>
      <c r="B39" t="s">
        <v>89</v>
      </c>
      <c r="H39" s="11">
        <v>5.0122920178232007E-2</v>
      </c>
    </row>
    <row r="40" spans="1:8" x14ac:dyDescent="0.2">
      <c r="A40" s="8" t="s">
        <v>90</v>
      </c>
      <c r="B40" t="s">
        <v>91</v>
      </c>
      <c r="H40" s="11">
        <v>2.3914177329901511E-2</v>
      </c>
    </row>
    <row r="41" spans="1:8" x14ac:dyDescent="0.2">
      <c r="A41" s="8" t="s">
        <v>92</v>
      </c>
      <c r="B41" t="s">
        <v>93</v>
      </c>
      <c r="H41" s="11">
        <v>0.48749957828622859</v>
      </c>
    </row>
    <row r="42" spans="1:8" x14ac:dyDescent="0.2">
      <c r="A42" s="8" t="s">
        <v>94</v>
      </c>
      <c r="B42" t="s">
        <v>95</v>
      </c>
      <c r="H42" s="11">
        <v>0.56459937462332155</v>
      </c>
    </row>
    <row r="43" spans="1:8" x14ac:dyDescent="0.2">
      <c r="A43" s="8" t="s">
        <v>96</v>
      </c>
      <c r="B43" t="s">
        <v>97</v>
      </c>
      <c r="H43" s="11">
        <v>9.9685747146086232E-2</v>
      </c>
    </row>
    <row r="44" spans="1:8" x14ac:dyDescent="0.2">
      <c r="A44" s="8" t="s">
        <v>98</v>
      </c>
      <c r="B44" t="s">
        <v>99</v>
      </c>
      <c r="H44" s="12">
        <v>30.173688115170389</v>
      </c>
    </row>
    <row r="45" spans="1:8" x14ac:dyDescent="0.2">
      <c r="A45" s="8" t="s">
        <v>100</v>
      </c>
      <c r="B45" t="s">
        <v>101</v>
      </c>
      <c r="H45" s="11">
        <v>1.139209701836748</v>
      </c>
    </row>
    <row r="46" spans="1:8" x14ac:dyDescent="0.2">
      <c r="A46" s="8" t="s">
        <v>102</v>
      </c>
      <c r="B46" t="s">
        <v>103</v>
      </c>
      <c r="H46" s="11">
        <v>8.7050704178539638E-3</v>
      </c>
    </row>
    <row r="47" spans="1:8" x14ac:dyDescent="0.2">
      <c r="A47" s="8" t="s">
        <v>104</v>
      </c>
      <c r="B47" t="s">
        <v>105</v>
      </c>
      <c r="H47" s="11">
        <v>0.5</v>
      </c>
    </row>
    <row r="48" spans="1:8" x14ac:dyDescent="0.2">
      <c r="A48" s="8" t="s">
        <v>106</v>
      </c>
      <c r="B48" t="s">
        <v>107</v>
      </c>
      <c r="H48" s="11">
        <v>0.05</v>
      </c>
    </row>
    <row r="49" spans="1:8" x14ac:dyDescent="0.2">
      <c r="A49" s="8" t="s">
        <v>108</v>
      </c>
      <c r="B49" t="s">
        <v>109</v>
      </c>
      <c r="H49" s="11">
        <v>4.4499999999999998E-2</v>
      </c>
    </row>
    <row r="50" spans="1:8" x14ac:dyDescent="0.2">
      <c r="A50" s="8" t="s">
        <v>110</v>
      </c>
      <c r="B50" t="s">
        <v>111</v>
      </c>
      <c r="H50" s="11">
        <v>0.02</v>
      </c>
    </row>
    <row r="51" spans="1:8" x14ac:dyDescent="0.2">
      <c r="A51" s="8" t="s">
        <v>112</v>
      </c>
      <c r="B51" t="s">
        <v>113</v>
      </c>
      <c r="H51" s="11">
        <v>0.01</v>
      </c>
    </row>
    <row r="52" spans="1:8" x14ac:dyDescent="0.2">
      <c r="A52" s="8" t="s">
        <v>114</v>
      </c>
      <c r="B52" t="s">
        <v>115</v>
      </c>
      <c r="H52" s="12">
        <v>750000</v>
      </c>
    </row>
    <row r="53" spans="1:8" x14ac:dyDescent="0.2">
      <c r="A53" s="8" t="s">
        <v>116</v>
      </c>
      <c r="B53" t="s">
        <v>117</v>
      </c>
      <c r="H53" s="12">
        <v>150000</v>
      </c>
    </row>
    <row r="54" spans="1:8" x14ac:dyDescent="0.2">
      <c r="A54" s="8" t="s">
        <v>118</v>
      </c>
      <c r="B54" t="s">
        <v>119</v>
      </c>
      <c r="H54" s="12">
        <v>250000</v>
      </c>
    </row>
    <row r="55" spans="1:8" x14ac:dyDescent="0.2">
      <c r="A55" s="8" t="s">
        <v>120</v>
      </c>
      <c r="B55" t="s">
        <v>121</v>
      </c>
      <c r="H55" s="12">
        <v>400000</v>
      </c>
    </row>
    <row r="56" spans="1:8" x14ac:dyDescent="0.2">
      <c r="A56" s="8" t="s">
        <v>122</v>
      </c>
      <c r="B56" t="s">
        <v>123</v>
      </c>
      <c r="H56" s="12">
        <v>5000</v>
      </c>
    </row>
    <row r="57" spans="1:8" x14ac:dyDescent="0.2">
      <c r="A57" s="8" t="s">
        <v>124</v>
      </c>
      <c r="B57" t="s">
        <v>125</v>
      </c>
      <c r="H57" s="12">
        <v>10416.67</v>
      </c>
    </row>
    <row r="58" spans="1:8" x14ac:dyDescent="0.2">
      <c r="A58" s="8" t="s">
        <v>126</v>
      </c>
      <c r="B58" t="s">
        <v>127</v>
      </c>
      <c r="H58" s="11">
        <v>0.5</v>
      </c>
    </row>
    <row r="59" spans="1:8" x14ac:dyDescent="0.2">
      <c r="A59" s="8" t="s">
        <v>128</v>
      </c>
      <c r="B59" t="s">
        <v>129</v>
      </c>
      <c r="H59" s="12">
        <v>500000</v>
      </c>
    </row>
    <row r="60" spans="1:8" x14ac:dyDescent="0.2">
      <c r="A60" s="8" t="s">
        <v>130</v>
      </c>
      <c r="B60" t="s">
        <v>131</v>
      </c>
      <c r="H60" s="12">
        <v>132665.99</v>
      </c>
    </row>
    <row r="61" spans="1:8" x14ac:dyDescent="0.2">
      <c r="A61" s="8" t="s">
        <v>132</v>
      </c>
      <c r="B61" t="s">
        <v>133</v>
      </c>
      <c r="H61" s="11">
        <v>0.2</v>
      </c>
    </row>
    <row r="62" spans="1:8" x14ac:dyDescent="0.2">
      <c r="A62" s="8" t="s">
        <v>134</v>
      </c>
      <c r="B62" t="s">
        <v>135</v>
      </c>
      <c r="H62" s="12">
        <v>84</v>
      </c>
    </row>
    <row r="63" spans="1:8" x14ac:dyDescent="0.2">
      <c r="A63" s="8" t="s">
        <v>136</v>
      </c>
      <c r="B63" t="s">
        <v>137</v>
      </c>
      <c r="H63" s="11">
        <v>0.11</v>
      </c>
    </row>
    <row r="64" spans="1:8" x14ac:dyDescent="0.2">
      <c r="A64" s="8" t="s">
        <v>138</v>
      </c>
      <c r="B64" t="s">
        <v>139</v>
      </c>
      <c r="H64" s="11">
        <v>0.23</v>
      </c>
    </row>
    <row r="65" spans="1:8" x14ac:dyDescent="0.2">
      <c r="A65" s="8" t="s">
        <v>140</v>
      </c>
      <c r="B65" t="s">
        <v>141</v>
      </c>
      <c r="H65" s="12">
        <v>500000</v>
      </c>
    </row>
  </sheetData>
  <mergeCells count="1">
    <mergeCell ref="A1:I1"/>
  </mergeCells>
  <dataValidations count="1">
    <dataValidation type="list" sqref="C4" xr:uid="{00000000-0002-0000-0100-000000000000}">
      <formula1>"Conservative,Base,Optimistic,Custom"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5" customWidth="1"/>
    <col min="2" max="2" width="62" customWidth="1"/>
    <col min="3" max="16" width="12.5" customWidth="1"/>
  </cols>
  <sheetData>
    <row r="1" spans="1:16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9" x14ac:dyDescent="0.25">
      <c r="A2" s="1" t="s">
        <v>142</v>
      </c>
    </row>
    <row r="3" spans="1:16" x14ac:dyDescent="0.2">
      <c r="A3" s="2" t="s">
        <v>143</v>
      </c>
    </row>
    <row r="5" spans="1:16" ht="32" x14ac:dyDescent="0.2">
      <c r="A5" s="6" t="s">
        <v>24</v>
      </c>
      <c r="B5" s="7" t="s">
        <v>144</v>
      </c>
      <c r="C5" s="7" t="s">
        <v>145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150</v>
      </c>
      <c r="I5" s="7" t="s">
        <v>151</v>
      </c>
      <c r="J5" s="7" t="s">
        <v>152</v>
      </c>
      <c r="K5" s="7" t="s">
        <v>153</v>
      </c>
      <c r="L5" s="7" t="s">
        <v>154</v>
      </c>
      <c r="M5" s="7" t="s">
        <v>155</v>
      </c>
      <c r="N5" s="7" t="s">
        <v>156</v>
      </c>
      <c r="O5" s="7" t="s">
        <v>157</v>
      </c>
      <c r="P5" s="7" t="s">
        <v>158</v>
      </c>
    </row>
    <row r="6" spans="1:16" x14ac:dyDescent="0.2">
      <c r="A6" s="8" t="s">
        <v>159</v>
      </c>
      <c r="B6" t="s">
        <v>160</v>
      </c>
      <c r="D6" s="12">
        <v>856141.99329519435</v>
      </c>
      <c r="E6" s="12">
        <v>1033083.058200446</v>
      </c>
      <c r="F6" s="12">
        <v>775990.39140016667</v>
      </c>
      <c r="G6" s="12">
        <v>998614.24211300723</v>
      </c>
      <c r="H6" s="12">
        <v>671138.32329691725</v>
      </c>
      <c r="I6" s="12">
        <v>934325.68069039576</v>
      </c>
      <c r="J6" s="12">
        <v>905237.75598773337</v>
      </c>
      <c r="K6" s="12">
        <v>913017.94032737846</v>
      </c>
      <c r="L6" s="12">
        <v>801355.71704612486</v>
      </c>
      <c r="M6" s="12">
        <v>850786.44246662245</v>
      </c>
      <c r="N6" s="12">
        <v>790309.62164554605</v>
      </c>
      <c r="O6" s="12">
        <v>871987.17346573784</v>
      </c>
    </row>
    <row r="7" spans="1:16" x14ac:dyDescent="0.2">
      <c r="A7" s="8" t="s">
        <v>161</v>
      </c>
      <c r="B7" t="s">
        <v>162</v>
      </c>
      <c r="D7" s="12">
        <v>608564.03</v>
      </c>
      <c r="E7" s="12">
        <v>358553.69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</row>
    <row r="8" spans="1:16" x14ac:dyDescent="0.2">
      <c r="A8" s="8" t="s">
        <v>163</v>
      </c>
      <c r="B8" t="s">
        <v>164</v>
      </c>
      <c r="D8" s="12">
        <v>123738.20540000001</v>
      </c>
      <c r="E8" s="12">
        <v>118851.3498</v>
      </c>
      <c r="F8" s="12">
        <v>121062.1109</v>
      </c>
      <c r="G8" s="12">
        <v>127685.4538</v>
      </c>
      <c r="H8" s="12">
        <v>119657.8192</v>
      </c>
      <c r="I8" s="12">
        <v>127823.4944</v>
      </c>
      <c r="J8" s="12">
        <v>123634.17539999999</v>
      </c>
      <c r="K8" s="12">
        <v>125178.31020000001</v>
      </c>
      <c r="L8" s="12">
        <v>128358.8472</v>
      </c>
      <c r="M8" s="12">
        <v>127130.68550000001</v>
      </c>
      <c r="N8" s="12">
        <v>127041.9201</v>
      </c>
      <c r="O8" s="12">
        <v>125897.8579</v>
      </c>
    </row>
    <row r="9" spans="1:16" x14ac:dyDescent="0.2">
      <c r="A9" s="8" t="s">
        <v>165</v>
      </c>
      <c r="B9" t="s">
        <v>166</v>
      </c>
      <c r="D9" s="12">
        <v>65434.860500000003</v>
      </c>
      <c r="E9" s="12">
        <v>66270.532749999998</v>
      </c>
      <c r="F9" s="12">
        <v>67572.805500000002</v>
      </c>
      <c r="G9" s="12">
        <v>69769.854099999997</v>
      </c>
      <c r="H9" s="12">
        <v>68636.511599999998</v>
      </c>
      <c r="I9" s="12">
        <v>67929.374349999998</v>
      </c>
      <c r="J9" s="12">
        <v>66906.67035</v>
      </c>
      <c r="K9" s="12">
        <v>66449.786850000004</v>
      </c>
      <c r="L9" s="12">
        <v>64844.934099999999</v>
      </c>
      <c r="M9" s="12">
        <v>64418.400849999998</v>
      </c>
      <c r="N9" s="12">
        <v>65150.917099999999</v>
      </c>
      <c r="O9" s="12">
        <v>65971.501350000006</v>
      </c>
    </row>
    <row r="10" spans="1:16" x14ac:dyDescent="0.2">
      <c r="A10" s="8" t="s">
        <v>167</v>
      </c>
      <c r="B10" t="s">
        <v>168</v>
      </c>
      <c r="D10" s="12">
        <v>16975.804</v>
      </c>
      <c r="E10" s="12">
        <v>16226.68275</v>
      </c>
      <c r="F10" s="12">
        <v>17153.620999999999</v>
      </c>
      <c r="G10" s="12">
        <v>16987.765749999999</v>
      </c>
      <c r="H10" s="12">
        <v>17182.413250000001</v>
      </c>
      <c r="I10" s="12">
        <v>16978.059000000001</v>
      </c>
      <c r="J10" s="12">
        <v>17095.636750000001</v>
      </c>
      <c r="K10" s="12">
        <v>16987.08924999999</v>
      </c>
      <c r="L10" s="12">
        <v>17596.185249999999</v>
      </c>
      <c r="M10" s="12">
        <v>18044.110250000002</v>
      </c>
      <c r="N10" s="12">
        <v>17900.897250000002</v>
      </c>
      <c r="O10" s="12">
        <v>18424.559499999999</v>
      </c>
    </row>
    <row r="11" spans="1:16" x14ac:dyDescent="0.2">
      <c r="A11" s="8" t="s">
        <v>169</v>
      </c>
      <c r="B11" t="s">
        <v>170</v>
      </c>
      <c r="D11" s="12">
        <v>7201.0862499999994</v>
      </c>
      <c r="E11" s="12">
        <v>7210.1472499999991</v>
      </c>
      <c r="F11" s="12">
        <v>6697.5549999999994</v>
      </c>
      <c r="G11" s="12">
        <v>7851.2334999999994</v>
      </c>
      <c r="H11" s="12">
        <v>7195.3257499999991</v>
      </c>
      <c r="I11" s="12">
        <v>6525.0474999999988</v>
      </c>
      <c r="J11" s="12">
        <v>6933.0384999999987</v>
      </c>
      <c r="K11" s="12">
        <v>7029.5012499999993</v>
      </c>
      <c r="L11" s="12">
        <v>6764.6002500000004</v>
      </c>
      <c r="M11" s="12">
        <v>6728.6432499999992</v>
      </c>
      <c r="N11" s="12">
        <v>7174.2619999999988</v>
      </c>
      <c r="O11" s="12">
        <v>8090.5197499999986</v>
      </c>
    </row>
    <row r="12" spans="1:16" x14ac:dyDescent="0.2">
      <c r="A12" s="8" t="s">
        <v>171</v>
      </c>
      <c r="B12" t="s">
        <v>172</v>
      </c>
      <c r="D12" s="12">
        <v>132790.39850000001</v>
      </c>
      <c r="E12" s="12">
        <v>134227.92000000001</v>
      </c>
      <c r="F12" s="12">
        <v>133549.72875000001</v>
      </c>
      <c r="G12" s="12">
        <v>137900.40484999999</v>
      </c>
      <c r="H12" s="12">
        <v>136659.64235000001</v>
      </c>
      <c r="I12" s="12">
        <v>113042.92485</v>
      </c>
      <c r="J12" s="12">
        <v>140833.62685</v>
      </c>
      <c r="K12" s="12">
        <v>133705.52059999999</v>
      </c>
      <c r="L12" s="12">
        <v>125155.37035</v>
      </c>
      <c r="M12" s="12">
        <v>117131.38335</v>
      </c>
      <c r="N12" s="12">
        <v>123025.11285</v>
      </c>
      <c r="O12" s="12">
        <v>132854.80134999999</v>
      </c>
    </row>
    <row r="13" spans="1:16" x14ac:dyDescent="0.2">
      <c r="A13" s="8" t="s">
        <v>173</v>
      </c>
      <c r="B13" t="s">
        <v>174</v>
      </c>
      <c r="D13" s="12">
        <v>5624.32</v>
      </c>
      <c r="E13" s="12">
        <v>5624.32</v>
      </c>
      <c r="F13" s="12">
        <v>5624.32</v>
      </c>
      <c r="G13" s="12">
        <v>5849.2928000000002</v>
      </c>
      <c r="H13" s="12">
        <v>5849.2928000000002</v>
      </c>
      <c r="I13" s="12">
        <v>5849.2928000000002</v>
      </c>
      <c r="J13" s="12">
        <v>5849.2928000000002</v>
      </c>
      <c r="K13" s="12">
        <v>5849.2928000000002</v>
      </c>
      <c r="L13" s="12">
        <v>5849.2928000000002</v>
      </c>
      <c r="M13" s="12">
        <v>5849.2928000000002</v>
      </c>
      <c r="N13" s="12">
        <v>5849.2928000000002</v>
      </c>
      <c r="O13" s="12">
        <v>5849.2928000000002</v>
      </c>
    </row>
    <row r="14" spans="1:16" x14ac:dyDescent="0.2">
      <c r="A14" s="8" t="s">
        <v>175</v>
      </c>
      <c r="B14" t="s">
        <v>176</v>
      </c>
      <c r="D14" s="12">
        <v>0</v>
      </c>
      <c r="E14" s="12">
        <v>0</v>
      </c>
      <c r="F14" s="12">
        <v>0</v>
      </c>
      <c r="G14" s="12">
        <v>70191.513600000006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</row>
    <row r="15" spans="1:16" x14ac:dyDescent="0.2">
      <c r="A15" s="8" t="s">
        <v>177</v>
      </c>
      <c r="B15" t="s">
        <v>178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40000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</row>
    <row r="16" spans="1:16" x14ac:dyDescent="0.2">
      <c r="A16" s="8" t="s">
        <v>179</v>
      </c>
      <c r="B16" t="s">
        <v>180</v>
      </c>
      <c r="D16" s="12">
        <v>6013.09</v>
      </c>
      <c r="E16" s="12">
        <v>6013.09</v>
      </c>
      <c r="F16" s="12">
        <v>6013.09</v>
      </c>
      <c r="G16" s="12">
        <v>6013.09</v>
      </c>
      <c r="H16" s="12">
        <v>6013.09</v>
      </c>
      <c r="I16" s="12">
        <v>6013.09</v>
      </c>
      <c r="J16" s="12">
        <v>6013.09</v>
      </c>
      <c r="K16" s="12">
        <v>6013.09</v>
      </c>
      <c r="L16" s="12">
        <v>6013.09</v>
      </c>
      <c r="M16" s="12">
        <v>6013.09</v>
      </c>
      <c r="N16" s="12">
        <v>6013.09</v>
      </c>
      <c r="O16" s="12">
        <v>6013.09</v>
      </c>
    </row>
    <row r="17" spans="1:15" x14ac:dyDescent="0.2">
      <c r="A17" s="8" t="s">
        <v>181</v>
      </c>
      <c r="B17" t="s">
        <v>182</v>
      </c>
      <c r="D17" s="13">
        <v>1.790100790391254</v>
      </c>
      <c r="E17" s="13">
        <v>1.5133345162706819</v>
      </c>
      <c r="F17" s="13">
        <v>1.7821512935604491</v>
      </c>
      <c r="G17" s="13">
        <v>1.8669477578767719</v>
      </c>
      <c r="H17" s="13">
        <v>2.030221383535376</v>
      </c>
      <c r="I17" s="13">
        <v>2.053165441776005</v>
      </c>
      <c r="J17" s="13">
        <v>1.937853366013631</v>
      </c>
      <c r="K17" s="13">
        <v>1.8692051595922261</v>
      </c>
      <c r="L17" s="13">
        <v>1.920268685798123</v>
      </c>
      <c r="M17" s="13">
        <v>1.912863504105359</v>
      </c>
      <c r="N17" s="13">
        <v>2.2328019291640921</v>
      </c>
      <c r="O17" s="13">
        <v>1.940340103557137</v>
      </c>
    </row>
    <row r="18" spans="1:15" x14ac:dyDescent="0.2">
      <c r="A18" s="8" t="s">
        <v>183</v>
      </c>
      <c r="B18" t="s">
        <v>184</v>
      </c>
      <c r="D18" s="12">
        <v>872378.4</v>
      </c>
      <c r="E18" s="12">
        <v>872378.4</v>
      </c>
      <c r="F18" s="12">
        <v>872378.4</v>
      </c>
      <c r="G18" s="12">
        <v>872378.4</v>
      </c>
      <c r="H18" s="12">
        <v>872378.4</v>
      </c>
      <c r="I18" s="12">
        <v>872378.4</v>
      </c>
      <c r="J18" s="12">
        <v>872378.4</v>
      </c>
      <c r="K18" s="12">
        <v>872378.4</v>
      </c>
      <c r="L18" s="12">
        <v>872378.4</v>
      </c>
      <c r="M18" s="12">
        <v>872378.4</v>
      </c>
      <c r="N18" s="12">
        <v>872378.4</v>
      </c>
      <c r="O18" s="12">
        <v>872378.4</v>
      </c>
    </row>
    <row r="19" spans="1:15" x14ac:dyDescent="0.2">
      <c r="A19" s="8" t="s">
        <v>185</v>
      </c>
      <c r="B19" t="s">
        <v>186</v>
      </c>
      <c r="D19" s="14">
        <v>1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</row>
    <row r="20" spans="1:15" x14ac:dyDescent="0.2">
      <c r="A20" s="8" t="s">
        <v>187</v>
      </c>
      <c r="B20" t="s">
        <v>188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5" x14ac:dyDescent="0.2">
      <c r="A21" s="8" t="s">
        <v>189</v>
      </c>
      <c r="B21" t="s">
        <v>190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</row>
    <row r="22" spans="1:15" x14ac:dyDescent="0.2">
      <c r="A22" s="8" t="s">
        <v>191</v>
      </c>
      <c r="B22" t="s">
        <v>192</v>
      </c>
      <c r="D22" s="14">
        <v>0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 spans="1:15" x14ac:dyDescent="0.2">
      <c r="A23" s="8" t="s">
        <v>193</v>
      </c>
      <c r="B23" t="s">
        <v>194</v>
      </c>
      <c r="D23" s="14">
        <v>1</v>
      </c>
      <c r="E23" s="14">
        <v>0</v>
      </c>
      <c r="F23" s="14">
        <v>0</v>
      </c>
      <c r="G23" s="14">
        <v>1</v>
      </c>
      <c r="H23" s="14">
        <v>0</v>
      </c>
      <c r="I23" s="14">
        <v>0</v>
      </c>
      <c r="J23" s="14">
        <v>1</v>
      </c>
      <c r="K23" s="14">
        <v>0</v>
      </c>
      <c r="L23" s="14">
        <v>0</v>
      </c>
      <c r="M23" s="14">
        <v>1</v>
      </c>
      <c r="N23" s="14">
        <v>0</v>
      </c>
      <c r="O23" s="14">
        <v>0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58" customWidth="1"/>
    <col min="3" max="16" width="12.5" customWidth="1"/>
  </cols>
  <sheetData>
    <row r="1" spans="1:16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9" x14ac:dyDescent="0.25">
      <c r="A2" s="1" t="s">
        <v>195</v>
      </c>
    </row>
    <row r="3" spans="1:16" x14ac:dyDescent="0.2">
      <c r="A3" s="2" t="s">
        <v>196</v>
      </c>
    </row>
    <row r="5" spans="1:16" ht="32" x14ac:dyDescent="0.2">
      <c r="A5" s="6" t="s">
        <v>24</v>
      </c>
      <c r="B5" s="7" t="s">
        <v>144</v>
      </c>
      <c r="C5" s="7" t="s">
        <v>145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150</v>
      </c>
      <c r="I5" s="7" t="s">
        <v>151</v>
      </c>
      <c r="J5" s="7" t="s">
        <v>152</v>
      </c>
      <c r="K5" s="7" t="s">
        <v>153</v>
      </c>
      <c r="L5" s="7" t="s">
        <v>154</v>
      </c>
      <c r="M5" s="7" t="s">
        <v>155</v>
      </c>
      <c r="N5" s="7" t="s">
        <v>156</v>
      </c>
      <c r="O5" s="7" t="s">
        <v>157</v>
      </c>
      <c r="P5" s="7" t="s">
        <v>158</v>
      </c>
    </row>
    <row r="7" spans="1:16" x14ac:dyDescent="0.2">
      <c r="A7" s="15" t="s">
        <v>197</v>
      </c>
    </row>
    <row r="8" spans="1:16" x14ac:dyDescent="0.2">
      <c r="A8" s="16" t="s">
        <v>198</v>
      </c>
      <c r="B8" s="16" t="s">
        <v>199</v>
      </c>
      <c r="C8" s="16"/>
      <c r="D8" s="17">
        <f>D11/(1-Assumptions!$H$31-Assumptions!$H$15)/(1-Assumptions!$H$32)</f>
        <v>891538.75236065174</v>
      </c>
      <c r="E8" s="17">
        <f>E11/(1-Assumptions!$H$31-Assumptions!$H$15)/(1-Assumptions!$H$32)</f>
        <v>910537.94170005422</v>
      </c>
      <c r="F8" s="17">
        <f>F11/(1-Assumptions!$H$31-Assumptions!$H$15)/(1-Assumptions!$H$32)</f>
        <v>821920.21828347852</v>
      </c>
      <c r="G8" s="17">
        <f>G11/(1-Assumptions!$H$31-Assumptions!$H$15)/(1-Assumptions!$H$32)</f>
        <v>965912.09937437391</v>
      </c>
      <c r="H8" s="17">
        <f>H11/(1-Assumptions!$H$31-Assumptions!$H$15)/(1-Assumptions!$H$32)</f>
        <v>856164.58633509208</v>
      </c>
      <c r="I8" s="17">
        <f>I11/(1-Assumptions!$H$31-Assumptions!$H$15)/(1-Assumptions!$H$32)</f>
        <v>910536.96161776141</v>
      </c>
      <c r="J8" s="17">
        <f>J11/(1-Assumptions!$H$31-Assumptions!$H$15)/(1-Assumptions!$H$32)</f>
        <v>867769.49274800695</v>
      </c>
      <c r="K8" s="17">
        <f>K11/(1-Assumptions!$H$31-Assumptions!$H$15)/(1-Assumptions!$H$32)</f>
        <v>931793.92214972829</v>
      </c>
      <c r="L8" s="17">
        <f>L11/(1-Assumptions!$H$31-Assumptions!$H$15)/(1-Assumptions!$H$32)</f>
        <v>909669.27383607137</v>
      </c>
      <c r="M8" s="17">
        <f>M11/(1-Assumptions!$H$31-Assumptions!$H$15)/(1-Assumptions!$H$32)</f>
        <v>898570.48717962857</v>
      </c>
      <c r="N8" s="17">
        <f>N11/(1-Assumptions!$H$31-Assumptions!$H$15)/(1-Assumptions!$H$32)</f>
        <v>852452.39737031213</v>
      </c>
      <c r="O8" s="17">
        <f>O11/(1-Assumptions!$H$31-Assumptions!$H$15)/(1-Assumptions!$H$32)</f>
        <v>869424.22240848374</v>
      </c>
      <c r="P8" s="17">
        <f t="shared" ref="P8:P32" si="0">SUM(D8:O8)</f>
        <v>10686290.355363645</v>
      </c>
    </row>
    <row r="9" spans="1:16" x14ac:dyDescent="0.2">
      <c r="A9" s="8" t="s">
        <v>200</v>
      </c>
      <c r="B9" t="s">
        <v>201</v>
      </c>
      <c r="D9" s="18">
        <f>-D8*(Assumptions!$H$31+Assumptions!$H$15)</f>
        <v>-52444.182693913361</v>
      </c>
      <c r="E9" s="18">
        <f>-E8*(Assumptions!$H$31+Assumptions!$H$15)</f>
        <v>-53561.797552620934</v>
      </c>
      <c r="F9" s="18">
        <f>-F8*(Assumptions!$H$31+Assumptions!$H$15)</f>
        <v>-48348.918062557503</v>
      </c>
      <c r="G9" s="18">
        <f>-G8*(Assumptions!$H$31+Assumptions!$H$15)</f>
        <v>-56819.146079428232</v>
      </c>
      <c r="H9" s="18">
        <f>-H8*(Assumptions!$H$31+Assumptions!$H$15)</f>
        <v>-50363.320565624395</v>
      </c>
      <c r="I9" s="18">
        <f>-I8*(Assumptions!$H$31+Assumptions!$H$15)</f>
        <v>-53561.739899922512</v>
      </c>
      <c r="J9" s="18">
        <f>-J8*(Assumptions!$H$31+Assumptions!$H$15)</f>
        <v>-51045.971578217141</v>
      </c>
      <c r="K9" s="18">
        <f>-K8*(Assumptions!$H$31+Assumptions!$H$15)</f>
        <v>-54812.166669038219</v>
      </c>
      <c r="L9" s="18">
        <f>-L8*(Assumptions!$H$31+Assumptions!$H$15)</f>
        <v>-53510.698734943719</v>
      </c>
      <c r="M9" s="18">
        <f>-M8*(Assumptions!$H$31+Assumptions!$H$15)</f>
        <v>-52857.819885258235</v>
      </c>
      <c r="N9" s="18">
        <f>-N8*(Assumptions!$H$31+Assumptions!$H$15)</f>
        <v>-50144.953483152931</v>
      </c>
      <c r="O9" s="18">
        <f>-O8*(Assumptions!$H$31+Assumptions!$H$15)</f>
        <v>-51143.309965800749</v>
      </c>
      <c r="P9" s="18">
        <f t="shared" si="0"/>
        <v>-628614.02517047792</v>
      </c>
    </row>
    <row r="10" spans="1:16" x14ac:dyDescent="0.2">
      <c r="A10" s="8" t="s">
        <v>202</v>
      </c>
      <c r="B10" t="s">
        <v>203</v>
      </c>
      <c r="D10" s="18">
        <f t="shared" ref="D10:O10" si="1">D11-D8-D9</f>
        <v>-7768.8663433360489</v>
      </c>
      <c r="E10" s="18">
        <f t="shared" si="1"/>
        <v>-7934.425229271932</v>
      </c>
      <c r="F10" s="18">
        <f t="shared" si="1"/>
        <v>-7162.2106204833472</v>
      </c>
      <c r="G10" s="18">
        <f t="shared" si="1"/>
        <v>-8416.9554936127097</v>
      </c>
      <c r="H10" s="18">
        <f t="shared" si="1"/>
        <v>-7460.6159536228515</v>
      </c>
      <c r="I10" s="18">
        <f t="shared" si="1"/>
        <v>-7934.4166888374602</v>
      </c>
      <c r="J10" s="18">
        <f t="shared" si="1"/>
        <v>-7561.7410775843018</v>
      </c>
      <c r="K10" s="18">
        <f t="shared" si="1"/>
        <v>-8119.6497870075036</v>
      </c>
      <c r="L10" s="18">
        <f t="shared" si="1"/>
        <v>-7926.8556597897914</v>
      </c>
      <c r="M10" s="18">
        <f t="shared" si="1"/>
        <v>-7830.1408620552174</v>
      </c>
      <c r="N10" s="18">
        <f t="shared" si="1"/>
        <v>-7428.2679487467685</v>
      </c>
      <c r="O10" s="18">
        <f t="shared" si="1"/>
        <v>-7576.1603874937646</v>
      </c>
      <c r="P10" s="18">
        <f t="shared" si="0"/>
        <v>-93120.306051841675</v>
      </c>
    </row>
    <row r="11" spans="1:16" x14ac:dyDescent="0.2">
      <c r="A11" s="16" t="s">
        <v>204</v>
      </c>
      <c r="B11" s="16" t="s">
        <v>205</v>
      </c>
      <c r="C11" s="16"/>
      <c r="D11" s="17">
        <f>(Drivers!D7+Assumptions!$H$24*D85+D86*C85+D87*0+D88*0+D89*0)*(1-D90)</f>
        <v>831325.70332340233</v>
      </c>
      <c r="E11" s="17">
        <f>(Drivers!E7+Assumptions!$H$24*E85+E86*D85+E87*C85+E88*0+E89*0)*(1-E90)</f>
        <v>849041.71891816135</v>
      </c>
      <c r="F11" s="17">
        <f>(Drivers!F7+Assumptions!$H$24*F85+F86*E85+F87*D85+F88*C85+F89*0)*(1-F90)</f>
        <v>766409.08960043767</v>
      </c>
      <c r="G11" s="17">
        <f>(Drivers!G7+Assumptions!$H$24*G85+G86*F85+G87*E85+G88*D85+G89*C85)*(1-G90)</f>
        <v>900675.99780133297</v>
      </c>
      <c r="H11" s="17">
        <f>(Drivers!H7+Assumptions!$H$24*H85+H86*G85+H87*F85+H88*E85+H89*D85)*(1-H90)</f>
        <v>798340.64981584484</v>
      </c>
      <c r="I11" s="17">
        <f>(Drivers!I7+Assumptions!$H$24*I85+I86*H85+I87*G85+I88*F85+I89*E85)*(1-I90)</f>
        <v>849040.80502900144</v>
      </c>
      <c r="J11" s="17">
        <f>(Drivers!J7+Assumptions!$H$24*J85+J86*I85+J87*H85+J88*G85+J89*F85)*(1-J90)</f>
        <v>809161.7800922055</v>
      </c>
      <c r="K11" s="17">
        <f>(Drivers!K7+Assumptions!$H$24*K85+K86*J85+K87*I85+K88*H85+K89*G85)*(1-K90)</f>
        <v>868862.10569368256</v>
      </c>
      <c r="L11" s="17">
        <f>(Drivers!L7+Assumptions!$H$24*L85+L86*K85+L87*J85+L88*I85+L89*H85)*(1-L90)</f>
        <v>848231.71944133786</v>
      </c>
      <c r="M11" s="17">
        <f>(Drivers!M7+Assumptions!$H$24*M85+M86*L85+M87*K85+M88*J85+M89*I85)*(1-M90)</f>
        <v>837882.52643231512</v>
      </c>
      <c r="N11" s="17">
        <f>(Drivers!N7+Assumptions!$H$24*N85+N86*M85+N87*L85+N88*K85+N89*J85)*(1-N90)</f>
        <v>794879.17593841243</v>
      </c>
      <c r="O11" s="17">
        <f>(Drivers!O7+Assumptions!$H$24*O85+O86*N85+O87*M85+O88*L85+O89*K85)*(1-O90)</f>
        <v>810704.75205518922</v>
      </c>
      <c r="P11" s="17">
        <f t="shared" si="0"/>
        <v>9964556.0241413228</v>
      </c>
    </row>
    <row r="12" spans="1:16" x14ac:dyDescent="0.2">
      <c r="A12" s="8" t="s">
        <v>206</v>
      </c>
      <c r="B12" t="s">
        <v>207</v>
      </c>
      <c r="D12" s="18">
        <f>Assumptions!$H$33*D11</f>
        <v>7468.5561262998517</v>
      </c>
      <c r="E12" s="18">
        <f>Assumptions!$H$33*E11</f>
        <v>7627.7152335846522</v>
      </c>
      <c r="F12" s="18">
        <f>Assumptions!$H$33*F11</f>
        <v>6885.3510465326035</v>
      </c>
      <c r="G12" s="18">
        <f>Assumptions!$H$33*G11</f>
        <v>8091.5929993488216</v>
      </c>
      <c r="H12" s="18">
        <f>Assumptions!$H$33*H11</f>
        <v>7172.2213414311091</v>
      </c>
      <c r="I12" s="18">
        <f>Assumptions!$H$33*I11</f>
        <v>7627.7070232857805</v>
      </c>
      <c r="J12" s="18">
        <f>Assumptions!$H$33*J11</f>
        <v>7269.4374126964558</v>
      </c>
      <c r="K12" s="18">
        <f>Assumptions!$H$33*K11</f>
        <v>7805.7798242573226</v>
      </c>
      <c r="L12" s="18">
        <f>Assumptions!$H$33*L11</f>
        <v>7620.4382703790816</v>
      </c>
      <c r="M12" s="18">
        <f>Assumptions!$H$33*M11</f>
        <v>7527.4620415186009</v>
      </c>
      <c r="N12" s="18">
        <f>Assumptions!$H$33*N11</f>
        <v>7141.1237682056271</v>
      </c>
      <c r="O12" s="18">
        <f>Assumptions!$H$33*O11</f>
        <v>7283.2993354792861</v>
      </c>
      <c r="P12" s="18">
        <f t="shared" si="0"/>
        <v>89520.684423019193</v>
      </c>
    </row>
    <row r="13" spans="1:16" x14ac:dyDescent="0.2">
      <c r="A13" s="16" t="s">
        <v>208</v>
      </c>
      <c r="B13" s="16" t="s">
        <v>209</v>
      </c>
      <c r="C13" s="16"/>
      <c r="D13" s="17">
        <f t="shared" ref="D13:O13" si="2">D11+D12</f>
        <v>838794.25944970222</v>
      </c>
      <c r="E13" s="17">
        <f t="shared" si="2"/>
        <v>856669.43415174598</v>
      </c>
      <c r="F13" s="17">
        <f t="shared" si="2"/>
        <v>773294.4406469703</v>
      </c>
      <c r="G13" s="17">
        <f t="shared" si="2"/>
        <v>908767.59080068173</v>
      </c>
      <c r="H13" s="17">
        <f t="shared" si="2"/>
        <v>805512.87115727598</v>
      </c>
      <c r="I13" s="17">
        <f t="shared" si="2"/>
        <v>856668.51205228723</v>
      </c>
      <c r="J13" s="17">
        <f t="shared" si="2"/>
        <v>816431.21750490193</v>
      </c>
      <c r="K13" s="17">
        <f t="shared" si="2"/>
        <v>876667.88551793993</v>
      </c>
      <c r="L13" s="17">
        <f t="shared" si="2"/>
        <v>855852.15771171695</v>
      </c>
      <c r="M13" s="17">
        <f t="shared" si="2"/>
        <v>845409.98847383377</v>
      </c>
      <c r="N13" s="17">
        <f t="shared" si="2"/>
        <v>802020.29970661807</v>
      </c>
      <c r="O13" s="17">
        <f t="shared" si="2"/>
        <v>817988.05139066849</v>
      </c>
      <c r="P13" s="17">
        <f t="shared" si="0"/>
        <v>10054076.708564341</v>
      </c>
    </row>
    <row r="14" spans="1:16" x14ac:dyDescent="0.2">
      <c r="A14" s="8" t="s">
        <v>210</v>
      </c>
      <c r="B14" t="s">
        <v>211</v>
      </c>
      <c r="D14" s="18">
        <f>-D11*(Assumptions!$H$34-Assumptions!$H$9)</f>
        <v>-454583.12823535787</v>
      </c>
      <c r="E14" s="18">
        <f>-E11*(Assumptions!$H$34-Assumptions!$H$9)</f>
        <v>-464270.54888978577</v>
      </c>
      <c r="F14" s="18">
        <f>-F11*(Assumptions!$H$34-Assumptions!$H$9)</f>
        <v>-419085.61237285164</v>
      </c>
      <c r="G14" s="18">
        <f>-G11*(Assumptions!$H$34-Assumptions!$H$9)</f>
        <v>-492505.0566465584</v>
      </c>
      <c r="H14" s="18">
        <f>-H11*(Assumptions!$H$34-Assumptions!$H$9)</f>
        <v>-436546.33621926524</v>
      </c>
      <c r="I14" s="18">
        <f>-I11*(Assumptions!$H$34-Assumptions!$H$9)</f>
        <v>-464270.04915954586</v>
      </c>
      <c r="J14" s="18">
        <f>-J11*(Assumptions!$H$34-Assumptions!$H$9)</f>
        <v>-442463.5155298594</v>
      </c>
      <c r="K14" s="18">
        <f>-K11*(Assumptions!$H$34-Assumptions!$H$9)</f>
        <v>-475108.67573613697</v>
      </c>
      <c r="L14" s="18">
        <f>-L11*(Assumptions!$H$34-Assumptions!$H$9)</f>
        <v>-463827.62730734056</v>
      </c>
      <c r="M14" s="18">
        <f>-M11*(Assumptions!$H$34-Assumptions!$H$9)</f>
        <v>-458168.51137486601</v>
      </c>
      <c r="N14" s="18">
        <f>-N11*(Assumptions!$H$34-Assumptions!$H$9)</f>
        <v>-434653.54303698096</v>
      </c>
      <c r="O14" s="18">
        <f>-O11*(Assumptions!$H$34-Assumptions!$H$9)</f>
        <v>-443307.23901742697</v>
      </c>
      <c r="P14" s="18">
        <f t="shared" si="0"/>
        <v>-5448789.843525975</v>
      </c>
    </row>
    <row r="15" spans="1:16" x14ac:dyDescent="0.2">
      <c r="A15" s="8" t="s">
        <v>212</v>
      </c>
      <c r="B15" t="s">
        <v>213</v>
      </c>
      <c r="D15" s="18">
        <f>D14*Assumptions!$H$35</f>
        <v>-18784.697951663875</v>
      </c>
      <c r="E15" s="18">
        <f>E14*Assumptions!$H$35</f>
        <v>-19185.010368956056</v>
      </c>
      <c r="F15" s="18">
        <f>F14*Assumptions!$H$35</f>
        <v>-17317.8372784575</v>
      </c>
      <c r="G15" s="18">
        <f>G14*Assumptions!$H$35</f>
        <v>-20351.742407788533</v>
      </c>
      <c r="H15" s="18">
        <f>H14*Assumptions!$H$35</f>
        <v>-18039.365208333678</v>
      </c>
      <c r="I15" s="18">
        <f>I14*Assumptions!$H$35</f>
        <v>-19184.989718648048</v>
      </c>
      <c r="J15" s="18">
        <f>J14*Assumptions!$H$35</f>
        <v>-18283.880279772486</v>
      </c>
      <c r="K15" s="18">
        <f>K14*Assumptions!$H$35</f>
        <v>-19632.873315301746</v>
      </c>
      <c r="L15" s="18">
        <f>L14*Assumptions!$H$35</f>
        <v>-19166.707560018109</v>
      </c>
      <c r="M15" s="18">
        <f>M14*Assumptions!$H$35</f>
        <v>-18932.856418473006</v>
      </c>
      <c r="N15" s="18">
        <f>N14*Assumptions!$H$35</f>
        <v>-17961.149484947284</v>
      </c>
      <c r="O15" s="18">
        <f>O14*Assumptions!$H$35</f>
        <v>-18318.745389989414</v>
      </c>
      <c r="P15" s="18">
        <f t="shared" si="0"/>
        <v>-225159.85538234975</v>
      </c>
    </row>
    <row r="16" spans="1:16" x14ac:dyDescent="0.2">
      <c r="A16" s="8" t="s">
        <v>214</v>
      </c>
      <c r="B16" t="s">
        <v>215</v>
      </c>
      <c r="D16" s="18">
        <f>D14*Assumptions!$H$36-Drivers!D19*Assumptions!$H$10*Assumptions!$H$60*Assumptions!$H$61</f>
        <v>-4841.7749269481837</v>
      </c>
      <c r="E16" s="18">
        <f>E14*Assumptions!$H$36-Drivers!E19*Assumptions!$H$10*Assumptions!$H$60*Assumptions!$H$61</f>
        <v>-4944.9558580431985</v>
      </c>
      <c r="F16" s="18">
        <f>F14*Assumptions!$H$36-Drivers!F19*Assumptions!$H$10*Assumptions!$H$60*Assumptions!$H$61</f>
        <v>-4463.6901024206818</v>
      </c>
      <c r="G16" s="18">
        <f>G14*Assumptions!$H$36-Drivers!G19*Assumptions!$H$10*Assumptions!$H$60*Assumptions!$H$61</f>
        <v>-5245.6822230144198</v>
      </c>
      <c r="H16" s="18">
        <f>H14*Assumptions!$H$36-Drivers!H19*Assumptions!$H$10*Assumptions!$H$60*Assumptions!$H$61</f>
        <v>-4649.6646572927684</v>
      </c>
      <c r="I16" s="18">
        <f>I14*Assumptions!$H$36-Drivers!I19*Assumptions!$H$10*Assumptions!$H$60*Assumptions!$H$61</f>
        <v>-4944.950535405389</v>
      </c>
      <c r="J16" s="18">
        <f>J14*Assumptions!$H$36-Drivers!J19*Assumptions!$H$10*Assumptions!$H$60*Assumptions!$H$61</f>
        <v>-4712.6886646630073</v>
      </c>
      <c r="K16" s="18">
        <f>K14*Assumptions!$H$36-Drivers!K19*Assumptions!$H$10*Assumptions!$H$60*Assumptions!$H$61</f>
        <v>-5060.3929861729921</v>
      </c>
      <c r="L16" s="18">
        <f>L14*Assumptions!$H$36-Drivers!L19*Assumptions!$H$10*Assumptions!$H$60*Assumptions!$H$61</f>
        <v>-4940.2382904977148</v>
      </c>
      <c r="M16" s="18">
        <f>M14*Assumptions!$H$36-Drivers!M19*Assumptions!$H$10*Assumptions!$H$60*Assumptions!$H$61</f>
        <v>-4879.9629218607124</v>
      </c>
      <c r="N16" s="18">
        <f>N14*Assumptions!$H$36-Drivers!N19*Assumptions!$H$10*Assumptions!$H$60*Assumptions!$H$61</f>
        <v>-4629.5044753532011</v>
      </c>
      <c r="O16" s="18">
        <f>O14*Assumptions!$H$36-Drivers!O19*Assumptions!$H$10*Assumptions!$H$60*Assumptions!$H$61</f>
        <v>-4721.6751821416474</v>
      </c>
      <c r="P16" s="18">
        <f t="shared" si="0"/>
        <v>-58035.180823813913</v>
      </c>
    </row>
    <row r="17" spans="1:16" x14ac:dyDescent="0.2">
      <c r="A17" s="16" t="s">
        <v>216</v>
      </c>
      <c r="B17" s="16" t="s">
        <v>217</v>
      </c>
      <c r="C17" s="16"/>
      <c r="D17" s="17">
        <f t="shared" ref="D17:O17" si="3">D14+D15+D16</f>
        <v>-478209.60111396993</v>
      </c>
      <c r="E17" s="17">
        <f t="shared" si="3"/>
        <v>-488400.51511678507</v>
      </c>
      <c r="F17" s="17">
        <f t="shared" si="3"/>
        <v>-440867.1397537298</v>
      </c>
      <c r="G17" s="17">
        <f t="shared" si="3"/>
        <v>-518102.48127736134</v>
      </c>
      <c r="H17" s="17">
        <f t="shared" si="3"/>
        <v>-459235.36608489172</v>
      </c>
      <c r="I17" s="17">
        <f t="shared" si="3"/>
        <v>-488399.98941359925</v>
      </c>
      <c r="J17" s="17">
        <f t="shared" si="3"/>
        <v>-465460.08447429491</v>
      </c>
      <c r="K17" s="17">
        <f t="shared" si="3"/>
        <v>-499801.94203761168</v>
      </c>
      <c r="L17" s="17">
        <f t="shared" si="3"/>
        <v>-487934.57315785642</v>
      </c>
      <c r="M17" s="17">
        <f t="shared" si="3"/>
        <v>-481981.3307151997</v>
      </c>
      <c r="N17" s="17">
        <f t="shared" si="3"/>
        <v>-457244.19699728145</v>
      </c>
      <c r="O17" s="17">
        <f t="shared" si="3"/>
        <v>-466347.65958955802</v>
      </c>
      <c r="P17" s="17">
        <f t="shared" si="0"/>
        <v>-5731984.8797321385</v>
      </c>
    </row>
    <row r="18" spans="1:16" x14ac:dyDescent="0.2">
      <c r="A18" s="16" t="s">
        <v>218</v>
      </c>
      <c r="B18" s="16" t="s">
        <v>219</v>
      </c>
      <c r="C18" s="16"/>
      <c r="D18" s="17">
        <f t="shared" ref="D18:O18" si="4">D13+D17</f>
        <v>360584.6583357323</v>
      </c>
      <c r="E18" s="17">
        <f t="shared" si="4"/>
        <v>368268.91903496091</v>
      </c>
      <c r="F18" s="17">
        <f t="shared" si="4"/>
        <v>332427.30089324049</v>
      </c>
      <c r="G18" s="17">
        <f t="shared" si="4"/>
        <v>390665.1095233204</v>
      </c>
      <c r="H18" s="17">
        <f t="shared" si="4"/>
        <v>346277.50507238426</v>
      </c>
      <c r="I18" s="17">
        <f t="shared" si="4"/>
        <v>368268.52263868798</v>
      </c>
      <c r="J18" s="17">
        <f t="shared" si="4"/>
        <v>350971.13303060702</v>
      </c>
      <c r="K18" s="17">
        <f t="shared" si="4"/>
        <v>376865.94348032825</v>
      </c>
      <c r="L18" s="17">
        <f t="shared" si="4"/>
        <v>367917.58455386054</v>
      </c>
      <c r="M18" s="17">
        <f t="shared" si="4"/>
        <v>363428.65775863407</v>
      </c>
      <c r="N18" s="17">
        <f t="shared" si="4"/>
        <v>344776.10270933661</v>
      </c>
      <c r="O18" s="17">
        <f t="shared" si="4"/>
        <v>351640.39180111047</v>
      </c>
      <c r="P18" s="17">
        <f t="shared" si="0"/>
        <v>4322091.8288322035</v>
      </c>
    </row>
    <row r="19" spans="1:16" x14ac:dyDescent="0.2">
      <c r="A19" s="8" t="s">
        <v>220</v>
      </c>
      <c r="B19" t="s">
        <v>221</v>
      </c>
      <c r="D19" s="18">
        <f t="shared" ref="D19:O19" si="5">-D94</f>
        <v>-138103.47282469316</v>
      </c>
      <c r="E19" s="18">
        <f t="shared" si="5"/>
        <v>-136185.5239430645</v>
      </c>
      <c r="F19" s="18">
        <f t="shared" si="5"/>
        <v>-134082.50889327092</v>
      </c>
      <c r="G19" s="18">
        <f t="shared" si="5"/>
        <v>-144441.27322528826</v>
      </c>
      <c r="H19" s="18">
        <f t="shared" si="5"/>
        <v>-130918.89688176743</v>
      </c>
      <c r="I19" s="18">
        <f t="shared" si="5"/>
        <v>-143500.61147869492</v>
      </c>
      <c r="J19" s="18">
        <f t="shared" si="5"/>
        <v>-138823.22412034374</v>
      </c>
      <c r="K19" s="18">
        <f t="shared" si="5"/>
        <v>-140497.90318698139</v>
      </c>
      <c r="L19" s="18">
        <f t="shared" si="5"/>
        <v>-141804.85179716634</v>
      </c>
      <c r="M19" s="18">
        <f t="shared" si="5"/>
        <v>-141406.09175626378</v>
      </c>
      <c r="N19" s="18">
        <f t="shared" si="5"/>
        <v>-140302.58147644982</v>
      </c>
      <c r="O19" s="18">
        <f t="shared" si="5"/>
        <v>-140528.9927302461</v>
      </c>
      <c r="P19" s="18">
        <f t="shared" si="0"/>
        <v>-1670595.9323142301</v>
      </c>
    </row>
    <row r="20" spans="1:16" x14ac:dyDescent="0.2">
      <c r="A20" s="8" t="s">
        <v>222</v>
      </c>
      <c r="B20" t="s">
        <v>223</v>
      </c>
      <c r="D20" s="18">
        <f>-Drivers!D9</f>
        <v>-65434.860500000003</v>
      </c>
      <c r="E20" s="18">
        <f>-Drivers!E9</f>
        <v>-66270.532749999998</v>
      </c>
      <c r="F20" s="18">
        <f>-Drivers!F9</f>
        <v>-67572.805500000002</v>
      </c>
      <c r="G20" s="18">
        <f>-Drivers!G9</f>
        <v>-69769.854099999997</v>
      </c>
      <c r="H20" s="18">
        <f>-Drivers!H9</f>
        <v>-68636.511599999998</v>
      </c>
      <c r="I20" s="18">
        <f>-Drivers!I9</f>
        <v>-67929.374349999998</v>
      </c>
      <c r="J20" s="18">
        <f>-Drivers!J9</f>
        <v>-66906.67035</v>
      </c>
      <c r="K20" s="18">
        <f>-Drivers!K9</f>
        <v>-66449.786850000004</v>
      </c>
      <c r="L20" s="18">
        <f>-Drivers!L9</f>
        <v>-64844.934099999999</v>
      </c>
      <c r="M20" s="18">
        <f>-Drivers!M9</f>
        <v>-64418.400849999998</v>
      </c>
      <c r="N20" s="18">
        <f>-Drivers!N9</f>
        <v>-65150.917099999999</v>
      </c>
      <c r="O20" s="18">
        <f>-Drivers!O9</f>
        <v>-65971.501350000006</v>
      </c>
      <c r="P20" s="18">
        <f t="shared" si="0"/>
        <v>-799356.14939999988</v>
      </c>
    </row>
    <row r="21" spans="1:16" x14ac:dyDescent="0.2">
      <c r="A21" s="8" t="s">
        <v>224</v>
      </c>
      <c r="B21" t="s">
        <v>225</v>
      </c>
      <c r="D21" s="18">
        <f>-Assumptions!$H$39*IF(Drivers!D19,Drivers!D18,C85)*(1+Assumptions!$H$14)</f>
        <v>-43726.152908413751</v>
      </c>
      <c r="E21" s="18">
        <f>-Assumptions!$H$39*IF(Drivers!E19,Drivers!E18,D85)*(1+Assumptions!$H$14)</f>
        <v>-42912.336791167465</v>
      </c>
      <c r="F21" s="18">
        <f>-Assumptions!$H$39*IF(Drivers!F19,Drivers!F18,E85)*(1+Assumptions!$H$14)</f>
        <v>-51781.139663664762</v>
      </c>
      <c r="G21" s="18">
        <f>-Assumptions!$H$39*IF(Drivers!G19,Drivers!G18,F85)*(1+Assumptions!$H$14)</f>
        <v>-38894.90444722557</v>
      </c>
      <c r="H21" s="18">
        <f>-Assumptions!$H$39*IF(Drivers!H19,Drivers!H18,G85)*(1+Assumptions!$H$14)</f>
        <v>-50053.461946275915</v>
      </c>
      <c r="I21" s="18">
        <f>-Assumptions!$H$39*IF(Drivers!I19,Drivers!I18,H85)*(1+Assumptions!$H$14)</f>
        <v>-33639.412607163853</v>
      </c>
      <c r="J21" s="18">
        <f>-Assumptions!$H$39*IF(Drivers!J19,Drivers!J18,I85)*(1+Assumptions!$H$14)</f>
        <v>-46831.131513716995</v>
      </c>
      <c r="K21" s="18">
        <f>-Assumptions!$H$39*IF(Drivers!K19,Drivers!K18,J85)*(1+Assumptions!$H$14)</f>
        <v>-45373.159785695025</v>
      </c>
      <c r="L21" s="18">
        <f>-Assumptions!$H$39*IF(Drivers!L19,Drivers!L18,K85)*(1+Assumptions!$H$14)</f>
        <v>-45763.125344322987</v>
      </c>
      <c r="M21" s="18">
        <f>-Assumptions!$H$39*IF(Drivers!M19,Drivers!M18,L85)*(1+Assumptions!$H$14)</f>
        <v>-40166.288639872793</v>
      </c>
      <c r="N21" s="18">
        <f>-Assumptions!$H$39*IF(Drivers!N19,Drivers!N18,M85)*(1+Assumptions!$H$14)</f>
        <v>-42643.900944476496</v>
      </c>
      <c r="O21" s="18">
        <f>-Assumptions!$H$39*IF(Drivers!O19,Drivers!O18,N85)*(1+Assumptions!$H$14)</f>
        <v>-39612.626081828443</v>
      </c>
      <c r="P21" s="18">
        <f t="shared" si="0"/>
        <v>-521397.640673824</v>
      </c>
    </row>
    <row r="22" spans="1:16" x14ac:dyDescent="0.2">
      <c r="A22" s="8" t="s">
        <v>226</v>
      </c>
      <c r="B22" t="s">
        <v>227</v>
      </c>
      <c r="D22" s="18">
        <f>-Drivers!D10*(1+Assumptions!$H$14)</f>
        <v>-16975.804</v>
      </c>
      <c r="E22" s="18">
        <f>-Drivers!E10*(1+Assumptions!$H$14)</f>
        <v>-16226.68275</v>
      </c>
      <c r="F22" s="18">
        <f>-Drivers!F10*(1+Assumptions!$H$14)</f>
        <v>-17153.620999999999</v>
      </c>
      <c r="G22" s="18">
        <f>-Drivers!G10*(1+Assumptions!$H$14)</f>
        <v>-16987.765749999999</v>
      </c>
      <c r="H22" s="18">
        <f>-Drivers!H10*(1+Assumptions!$H$14)</f>
        <v>-17182.413250000001</v>
      </c>
      <c r="I22" s="18">
        <f>-Drivers!I10*(1+Assumptions!$H$14)</f>
        <v>-16978.059000000001</v>
      </c>
      <c r="J22" s="18">
        <f>-Drivers!J10*(1+Assumptions!$H$14)</f>
        <v>-17095.636750000001</v>
      </c>
      <c r="K22" s="18">
        <f>-Drivers!K10*(1+Assumptions!$H$14)</f>
        <v>-16987.08924999999</v>
      </c>
      <c r="L22" s="18">
        <f>-Drivers!L10*(1+Assumptions!$H$14)</f>
        <v>-17596.185249999999</v>
      </c>
      <c r="M22" s="18">
        <f>-Drivers!M10*(1+Assumptions!$H$14)</f>
        <v>-18044.110250000002</v>
      </c>
      <c r="N22" s="18">
        <f>-Drivers!N10*(1+Assumptions!$H$14)</f>
        <v>-17900.897250000002</v>
      </c>
      <c r="O22" s="18">
        <f>-Drivers!O10*(1+Assumptions!$H$14)</f>
        <v>-18424.559499999999</v>
      </c>
      <c r="P22" s="18">
        <f t="shared" si="0"/>
        <v>-207552.82399999999</v>
      </c>
    </row>
    <row r="23" spans="1:16" x14ac:dyDescent="0.2">
      <c r="A23" s="8" t="s">
        <v>228</v>
      </c>
      <c r="B23" t="s">
        <v>170</v>
      </c>
      <c r="D23" s="18">
        <f>-Drivers!D11*(1+Assumptions!$H$14)</f>
        <v>-7201.0862499999994</v>
      </c>
      <c r="E23" s="18">
        <f>-Drivers!E11*(1+Assumptions!$H$14)</f>
        <v>-7210.1472499999991</v>
      </c>
      <c r="F23" s="18">
        <f>-Drivers!F11*(1+Assumptions!$H$14)</f>
        <v>-6697.5549999999994</v>
      </c>
      <c r="G23" s="18">
        <f>-Drivers!G11*(1+Assumptions!$H$14)</f>
        <v>-7851.2334999999994</v>
      </c>
      <c r="H23" s="18">
        <f>-Drivers!H11*(1+Assumptions!$H$14)</f>
        <v>-7195.3257499999991</v>
      </c>
      <c r="I23" s="18">
        <f>-Drivers!I11*(1+Assumptions!$H$14)</f>
        <v>-6525.0474999999988</v>
      </c>
      <c r="J23" s="18">
        <f>-Drivers!J11*(1+Assumptions!$H$14)</f>
        <v>-6933.0384999999987</v>
      </c>
      <c r="K23" s="18">
        <f>-Drivers!K11*(1+Assumptions!$H$14)</f>
        <v>-7029.5012499999993</v>
      </c>
      <c r="L23" s="18">
        <f>-Drivers!L11*(1+Assumptions!$H$14)</f>
        <v>-6764.6002500000004</v>
      </c>
      <c r="M23" s="18">
        <f>-Drivers!M11*(1+Assumptions!$H$14)</f>
        <v>-6728.6432499999992</v>
      </c>
      <c r="N23" s="18">
        <f>-Drivers!N11*(1+Assumptions!$H$14)</f>
        <v>-7174.2619999999988</v>
      </c>
      <c r="O23" s="18">
        <f>-Drivers!O11*(1+Assumptions!$H$14)</f>
        <v>-8090.5197499999986</v>
      </c>
      <c r="P23" s="18">
        <f t="shared" si="0"/>
        <v>-85400.960249999989</v>
      </c>
    </row>
    <row r="24" spans="1:16" x14ac:dyDescent="0.2">
      <c r="A24" s="8" t="s">
        <v>229</v>
      </c>
      <c r="B24" t="s">
        <v>230</v>
      </c>
      <c r="D24" s="18">
        <f>-Assumptions!$H$40*D13</f>
        <v>-20059.074663783595</v>
      </c>
      <c r="E24" s="18">
        <f>-Assumptions!$H$40*E13</f>
        <v>-20486.544761411238</v>
      </c>
      <c r="F24" s="18">
        <f>-Assumptions!$H$40*F13</f>
        <v>-18492.700381858645</v>
      </c>
      <c r="G24" s="18">
        <f>-Assumptions!$H$40*G13</f>
        <v>-21732.429318074875</v>
      </c>
      <c r="H24" s="18">
        <f>-Assumptions!$H$40*H13</f>
        <v>-19263.177642373204</v>
      </c>
      <c r="I24" s="18">
        <f>-Assumptions!$H$40*I13</f>
        <v>-20486.522710161265</v>
      </c>
      <c r="J24" s="18">
        <f>-Assumptions!$H$40*J13</f>
        <v>-19524.280913079616</v>
      </c>
      <c r="K24" s="18">
        <f>-Assumptions!$H$40*K13</f>
        <v>-20964.79127370581</v>
      </c>
      <c r="L24" s="18">
        <f>-Assumptions!$H$40*L13</f>
        <v>-20467.000267696832</v>
      </c>
      <c r="M24" s="18">
        <f>-Assumptions!$H$40*M13</f>
        <v>-20217.284380833255</v>
      </c>
      <c r="N24" s="18">
        <f>-Assumptions!$H$40*N13</f>
        <v>-19179.65566936482</v>
      </c>
      <c r="O24" s="18">
        <f>-Assumptions!$H$40*O13</f>
        <v>-19561.511314697036</v>
      </c>
      <c r="P24" s="18">
        <f t="shared" si="0"/>
        <v>-240434.97329704018</v>
      </c>
    </row>
    <row r="25" spans="1:16" x14ac:dyDescent="0.2">
      <c r="A25" s="16" t="s">
        <v>231</v>
      </c>
      <c r="B25" s="16" t="s">
        <v>232</v>
      </c>
      <c r="C25" s="16"/>
      <c r="D25" s="17">
        <f t="shared" ref="D25:O25" si="6">D19+D20+D21+D22+D23+D24</f>
        <v>-291500.45114689053</v>
      </c>
      <c r="E25" s="17">
        <f t="shared" si="6"/>
        <v>-289291.76824564324</v>
      </c>
      <c r="F25" s="17">
        <f t="shared" si="6"/>
        <v>-295780.33043879434</v>
      </c>
      <c r="G25" s="17">
        <f t="shared" si="6"/>
        <v>-299677.4603405887</v>
      </c>
      <c r="H25" s="17">
        <f t="shared" si="6"/>
        <v>-293249.78707041655</v>
      </c>
      <c r="I25" s="17">
        <f t="shared" si="6"/>
        <v>-289059.02764602005</v>
      </c>
      <c r="J25" s="17">
        <f t="shared" si="6"/>
        <v>-296113.98214714037</v>
      </c>
      <c r="K25" s="17">
        <f t="shared" si="6"/>
        <v>-297302.23159638222</v>
      </c>
      <c r="L25" s="17">
        <f t="shared" si="6"/>
        <v>-297240.6970091862</v>
      </c>
      <c r="M25" s="17">
        <f t="shared" si="6"/>
        <v>-290980.8191269699</v>
      </c>
      <c r="N25" s="17">
        <f t="shared" si="6"/>
        <v>-292352.21444029111</v>
      </c>
      <c r="O25" s="17">
        <f t="shared" si="6"/>
        <v>-292189.71072677156</v>
      </c>
      <c r="P25" s="17">
        <f t="shared" si="0"/>
        <v>-3524738.4799350952</v>
      </c>
    </row>
    <row r="26" spans="1:16" x14ac:dyDescent="0.2">
      <c r="A26" s="16" t="s">
        <v>233</v>
      </c>
      <c r="B26" s="16" t="s">
        <v>234</v>
      </c>
      <c r="C26" s="16"/>
      <c r="D26" s="17">
        <f t="shared" ref="D26:O26" si="7">D18+D25</f>
        <v>69084.20718884177</v>
      </c>
      <c r="E26" s="17">
        <f t="shared" si="7"/>
        <v>78977.150789317675</v>
      </c>
      <c r="F26" s="17">
        <f t="shared" si="7"/>
        <v>36646.970454446157</v>
      </c>
      <c r="G26" s="17">
        <f t="shared" si="7"/>
        <v>90987.649182731693</v>
      </c>
      <c r="H26" s="17">
        <f t="shared" si="7"/>
        <v>53027.718001967703</v>
      </c>
      <c r="I26" s="17">
        <f t="shared" si="7"/>
        <v>79209.494992667926</v>
      </c>
      <c r="J26" s="17">
        <f t="shared" si="7"/>
        <v>54857.150883466646</v>
      </c>
      <c r="K26" s="17">
        <f t="shared" si="7"/>
        <v>79563.711883946031</v>
      </c>
      <c r="L26" s="17">
        <f t="shared" si="7"/>
        <v>70676.887544674333</v>
      </c>
      <c r="M26" s="17">
        <f t="shared" si="7"/>
        <v>72447.83863166417</v>
      </c>
      <c r="N26" s="17">
        <f t="shared" si="7"/>
        <v>52423.888269045507</v>
      </c>
      <c r="O26" s="17">
        <f t="shared" si="7"/>
        <v>59450.681074338907</v>
      </c>
      <c r="P26" s="17">
        <f t="shared" si="0"/>
        <v>797353.34889710858</v>
      </c>
    </row>
    <row r="27" spans="1:16" x14ac:dyDescent="0.2">
      <c r="A27" s="8" t="s">
        <v>235</v>
      </c>
      <c r="B27" t="s">
        <v>236</v>
      </c>
      <c r="D27" s="18">
        <f>-(Drivers!D16+C97/Assumptions!$H$62)</f>
        <v>-6013.09</v>
      </c>
      <c r="E27" s="18">
        <f>-(Drivers!E16+D97/Assumptions!$H$62)</f>
        <v>-6013.09</v>
      </c>
      <c r="F27" s="18">
        <f>-(Drivers!F16+E97/Assumptions!$H$62)</f>
        <v>-6013.09</v>
      </c>
      <c r="G27" s="18">
        <f>-(Drivers!G16+F97/Assumptions!$H$62)</f>
        <v>-6013.09</v>
      </c>
      <c r="H27" s="18">
        <f>-(Drivers!H16+G97/Assumptions!$H$62)</f>
        <v>-6013.09</v>
      </c>
      <c r="I27" s="18">
        <f>-(Drivers!I16+H97/Assumptions!$H$62)</f>
        <v>-6013.09</v>
      </c>
      <c r="J27" s="18">
        <f>-(Drivers!J16+I97/Assumptions!$H$62)</f>
        <v>-6489.2804761904763</v>
      </c>
      <c r="K27" s="18">
        <f>-(Drivers!K16+J97/Assumptions!$H$62)</f>
        <v>-6489.2804761904763</v>
      </c>
      <c r="L27" s="18">
        <f>-(Drivers!L16+K97/Assumptions!$H$62)</f>
        <v>-6489.2804761904763</v>
      </c>
      <c r="M27" s="18">
        <f>-(Drivers!M16+L97/Assumptions!$H$62)</f>
        <v>-6489.2804761904763</v>
      </c>
      <c r="N27" s="18">
        <f>-(Drivers!N16+M97/Assumptions!$H$62)</f>
        <v>-6489.2804761904763</v>
      </c>
      <c r="O27" s="18">
        <f>-(Drivers!O16+N97/Assumptions!$H$62)</f>
        <v>-6489.2804761904763</v>
      </c>
      <c r="P27" s="18">
        <f t="shared" si="0"/>
        <v>-75014.222857142857</v>
      </c>
    </row>
    <row r="28" spans="1:16" x14ac:dyDescent="0.2">
      <c r="A28" s="16" t="s">
        <v>237</v>
      </c>
      <c r="B28" s="16" t="s">
        <v>238</v>
      </c>
      <c r="C28" s="16"/>
      <c r="D28" s="17">
        <f t="shared" ref="D28:O28" si="8">D26+D27</f>
        <v>63071.117188841774</v>
      </c>
      <c r="E28" s="17">
        <f t="shared" si="8"/>
        <v>72964.060789317678</v>
      </c>
      <c r="F28" s="17">
        <f t="shared" si="8"/>
        <v>30633.880454446156</v>
      </c>
      <c r="G28" s="17">
        <f t="shared" si="8"/>
        <v>84974.559182731697</v>
      </c>
      <c r="H28" s="17">
        <f t="shared" si="8"/>
        <v>47014.628001967707</v>
      </c>
      <c r="I28" s="17">
        <f t="shared" si="8"/>
        <v>73196.404992667929</v>
      </c>
      <c r="J28" s="17">
        <f t="shared" si="8"/>
        <v>48367.870407276168</v>
      </c>
      <c r="K28" s="17">
        <f t="shared" si="8"/>
        <v>73074.431407755561</v>
      </c>
      <c r="L28" s="17">
        <f t="shared" si="8"/>
        <v>64187.607068483856</v>
      </c>
      <c r="M28" s="17">
        <f t="shared" si="8"/>
        <v>65958.5581554737</v>
      </c>
      <c r="N28" s="17">
        <f t="shared" si="8"/>
        <v>45934.607792855029</v>
      </c>
      <c r="O28" s="17">
        <f t="shared" si="8"/>
        <v>52961.40059814843</v>
      </c>
      <c r="P28" s="17">
        <f t="shared" si="0"/>
        <v>722339.12603996566</v>
      </c>
    </row>
    <row r="29" spans="1:16" x14ac:dyDescent="0.2">
      <c r="A29" s="8" t="s">
        <v>239</v>
      </c>
      <c r="B29" t="s">
        <v>240</v>
      </c>
      <c r="D29" s="18">
        <f>-(C104*(Assumptions!$H$49+Assumptions!$H$16+Assumptions!$H$50)+C52*(Assumptions!$H$49+Assumptions!$H$16+Assumptions!$H$51))/12</f>
        <v>-839.84315875000004</v>
      </c>
      <c r="E29" s="18">
        <f>-(D104*(Assumptions!$H$49+Assumptions!$H$16+Assumptions!$H$50)+D52*(Assumptions!$H$49+Assumptions!$H$16+Assumptions!$H$51))/12</f>
        <v>-783.85355750000008</v>
      </c>
      <c r="F29" s="18">
        <f>-(E104*(Assumptions!$H$49+Assumptions!$H$16+Assumptions!$H$50)+E52*(Assumptions!$H$49+Assumptions!$H$16+Assumptions!$H$51))/12</f>
        <v>-727.86395624999989</v>
      </c>
      <c r="G29" s="18">
        <f>-(F104*(Assumptions!$H$49+Assumptions!$H$16+Assumptions!$H$50)+F52*(Assumptions!$H$49+Assumptions!$H$16+Assumptions!$H$51))/12</f>
        <v>-671.87435500000004</v>
      </c>
      <c r="H29" s="18">
        <f>-(G104*(Assumptions!$H$49+Assumptions!$H$16+Assumptions!$H$50)+G52*(Assumptions!$H$49+Assumptions!$H$16+Assumptions!$H$51))/12</f>
        <v>-615.88475374999996</v>
      </c>
      <c r="I29" s="18">
        <f>-(H104*(Assumptions!$H$49+Assumptions!$H$16+Assumptions!$H$50)+H52*(Assumptions!$H$49+Assumptions!$H$16+Assumptions!$H$51))/12</f>
        <v>-559.89515249999999</v>
      </c>
      <c r="J29" s="18">
        <f>-(I104*(Assumptions!$H$49+Assumptions!$H$16+Assumptions!$H$50)+I52*(Assumptions!$H$49+Assumptions!$H$16+Assumptions!$H$51))/12</f>
        <v>-503.90555124999997</v>
      </c>
      <c r="K29" s="18">
        <f>-(J104*(Assumptions!$H$49+Assumptions!$H$16+Assumptions!$H$50)+J52*(Assumptions!$H$49+Assumptions!$H$16+Assumptions!$H$51))/12</f>
        <v>-447.91595000000001</v>
      </c>
      <c r="L29" s="18">
        <f>-(K104*(Assumptions!$H$49+Assumptions!$H$16+Assumptions!$H$50)+K52*(Assumptions!$H$49+Assumptions!$H$16+Assumptions!$H$51))/12</f>
        <v>-391.92634874999999</v>
      </c>
      <c r="M29" s="18">
        <f>-(L104*(Assumptions!$H$49+Assumptions!$H$16+Assumptions!$H$50)+L52*(Assumptions!$H$49+Assumptions!$H$16+Assumptions!$H$51))/12</f>
        <v>-335.93674750000002</v>
      </c>
      <c r="N29" s="18">
        <f>-(M104*(Assumptions!$H$49+Assumptions!$H$16+Assumptions!$H$50)+M52*(Assumptions!$H$49+Assumptions!$H$16+Assumptions!$H$51))/12</f>
        <v>-279.94714625</v>
      </c>
      <c r="O29" s="18">
        <f>-(N104*(Assumptions!$H$49+Assumptions!$H$16+Assumptions!$H$50)+N52*(Assumptions!$H$49+Assumptions!$H$16+Assumptions!$H$51))/12</f>
        <v>-223.95754500000001</v>
      </c>
      <c r="P29" s="18">
        <f t="shared" si="0"/>
        <v>-6382.804222499999</v>
      </c>
    </row>
    <row r="30" spans="1:16" x14ac:dyDescent="0.2">
      <c r="A30" s="16" t="s">
        <v>241</v>
      </c>
      <c r="B30" s="16" t="s">
        <v>242</v>
      </c>
      <c r="C30" s="16"/>
      <c r="D30" s="17">
        <f t="shared" ref="D30:O30" si="9">D28+D29</f>
        <v>62231.274030091772</v>
      </c>
      <c r="E30" s="17">
        <f t="shared" si="9"/>
        <v>72180.20723181768</v>
      </c>
      <c r="F30" s="17">
        <f t="shared" si="9"/>
        <v>29906.016498196157</v>
      </c>
      <c r="G30" s="17">
        <f t="shared" si="9"/>
        <v>84302.684827731689</v>
      </c>
      <c r="H30" s="17">
        <f t="shared" si="9"/>
        <v>46398.74324821771</v>
      </c>
      <c r="I30" s="17">
        <f t="shared" si="9"/>
        <v>72636.509840167928</v>
      </c>
      <c r="J30" s="17">
        <f t="shared" si="9"/>
        <v>47863.96485602617</v>
      </c>
      <c r="K30" s="17">
        <f t="shared" si="9"/>
        <v>72626.515457755566</v>
      </c>
      <c r="L30" s="17">
        <f t="shared" si="9"/>
        <v>63795.680719733857</v>
      </c>
      <c r="M30" s="17">
        <f t="shared" si="9"/>
        <v>65622.621407973696</v>
      </c>
      <c r="N30" s="17">
        <f t="shared" si="9"/>
        <v>45654.660646605029</v>
      </c>
      <c r="O30" s="17">
        <f t="shared" si="9"/>
        <v>52737.443053148432</v>
      </c>
      <c r="P30" s="17">
        <f t="shared" si="0"/>
        <v>715956.32181746571</v>
      </c>
    </row>
    <row r="31" spans="1:16" x14ac:dyDescent="0.2">
      <c r="A31" s="8" t="s">
        <v>243</v>
      </c>
      <c r="B31" t="s">
        <v>244</v>
      </c>
      <c r="D31" s="18">
        <f>-(D109-IF(Drivers!D20,0,C109))</f>
        <v>-14313.19662692101</v>
      </c>
      <c r="E31" s="18">
        <f>-(E109-IF(Drivers!E20,0,D109))</f>
        <v>-16601.447663318046</v>
      </c>
      <c r="F31" s="18">
        <f>-(F109-IF(Drivers!F20,0,E109))</f>
        <v>-6878.3837945851265</v>
      </c>
      <c r="G31" s="18">
        <f>-(G109-IF(Drivers!G20,0,F109))</f>
        <v>-9273.2953310504854</v>
      </c>
      <c r="H31" s="18">
        <f>-(H109-IF(Drivers!H20,0,G109))</f>
        <v>-5103.8617573039483</v>
      </c>
      <c r="I31" s="18">
        <f>-(I109-IF(Drivers!I20,0,H109))</f>
        <v>-7990.0160824184713</v>
      </c>
      <c r="J31" s="18">
        <f>-(J109-IF(Drivers!J20,0,I109))</f>
        <v>-5265.0361341628777</v>
      </c>
      <c r="K31" s="18">
        <f>-(K109-IF(Drivers!K20,0,J109))</f>
        <v>-7988.9167003531074</v>
      </c>
      <c r="L31" s="18">
        <f>-(L109-IF(Drivers!L20,0,K109))</f>
        <v>-7017.5248791707272</v>
      </c>
      <c r="M31" s="18">
        <f>-(M109-IF(Drivers!M20,0,L109))</f>
        <v>-7218.4883548771104</v>
      </c>
      <c r="N31" s="18">
        <f>-(N109-IF(Drivers!N20,0,M109))</f>
        <v>-5022.0126711265475</v>
      </c>
      <c r="O31" s="18">
        <f>-(O109-IF(Drivers!O20,0,N109))</f>
        <v>-11997.77762272954</v>
      </c>
      <c r="P31" s="18">
        <f t="shared" si="0"/>
        <v>-104669.95761801698</v>
      </c>
    </row>
    <row r="32" spans="1:16" x14ac:dyDescent="0.2">
      <c r="A32" s="16" t="s">
        <v>245</v>
      </c>
      <c r="B32" s="16" t="s">
        <v>246</v>
      </c>
      <c r="C32" s="16"/>
      <c r="D32" s="17">
        <f t="shared" ref="D32:O32" si="10">D30+D31</f>
        <v>47918.077403170762</v>
      </c>
      <c r="E32" s="17">
        <f t="shared" si="10"/>
        <v>55578.759568499634</v>
      </c>
      <c r="F32" s="17">
        <f t="shared" si="10"/>
        <v>23027.632703611031</v>
      </c>
      <c r="G32" s="17">
        <f t="shared" si="10"/>
        <v>75029.389496681208</v>
      </c>
      <c r="H32" s="17">
        <f t="shared" si="10"/>
        <v>41294.881490913758</v>
      </c>
      <c r="I32" s="17">
        <f t="shared" si="10"/>
        <v>64646.493757749457</v>
      </c>
      <c r="J32" s="17">
        <f t="shared" si="10"/>
        <v>42598.928721863296</v>
      </c>
      <c r="K32" s="17">
        <f t="shared" si="10"/>
        <v>64637.598757402462</v>
      </c>
      <c r="L32" s="17">
        <f t="shared" si="10"/>
        <v>56778.155840563129</v>
      </c>
      <c r="M32" s="17">
        <f t="shared" si="10"/>
        <v>58404.133053096586</v>
      </c>
      <c r="N32" s="17">
        <f t="shared" si="10"/>
        <v>40632.647975478481</v>
      </c>
      <c r="O32" s="17">
        <f t="shared" si="10"/>
        <v>40739.665430418892</v>
      </c>
      <c r="P32" s="17">
        <f t="shared" si="0"/>
        <v>611286.36419944861</v>
      </c>
    </row>
    <row r="34" spans="1:16" x14ac:dyDescent="0.2">
      <c r="A34" s="15" t="s">
        <v>247</v>
      </c>
    </row>
    <row r="35" spans="1:16" x14ac:dyDescent="0.2">
      <c r="A35" s="8" t="s">
        <v>248</v>
      </c>
      <c r="B35" t="s">
        <v>249</v>
      </c>
      <c r="C35" s="18">
        <f>Hist_Balances!$AJ$6</f>
        <v>1722169.75</v>
      </c>
      <c r="D35" s="18">
        <f t="shared" ref="D35:O35" si="11">C35+D78</f>
        <v>1888904.4846566366</v>
      </c>
      <c r="E35" s="18">
        <f t="shared" si="11"/>
        <v>2008660.8011480172</v>
      </c>
      <c r="F35" s="18">
        <f t="shared" si="11"/>
        <v>1680880.9950798731</v>
      </c>
      <c r="G35" s="18">
        <f t="shared" si="11"/>
        <v>1696031.6999531642</v>
      </c>
      <c r="H35" s="18">
        <f t="shared" si="11"/>
        <v>1584645.9654895405</v>
      </c>
      <c r="I35" s="18">
        <f t="shared" si="11"/>
        <v>1520292.571087423</v>
      </c>
      <c r="J35" s="18">
        <f t="shared" si="11"/>
        <v>1563027.4249802022</v>
      </c>
      <c r="K35" s="18">
        <f t="shared" si="11"/>
        <v>1681278.8769759974</v>
      </c>
      <c r="L35" s="18">
        <f t="shared" si="11"/>
        <v>1731324.0983515661</v>
      </c>
      <c r="M35" s="18">
        <f t="shared" si="11"/>
        <v>1777859.8563212277</v>
      </c>
      <c r="N35" s="18">
        <f t="shared" si="11"/>
        <v>1826643.7152983118</v>
      </c>
      <c r="O35" s="18">
        <f t="shared" si="11"/>
        <v>1812609.1307602942</v>
      </c>
    </row>
    <row r="36" spans="1:16" x14ac:dyDescent="0.2">
      <c r="A36" s="8" t="s">
        <v>250</v>
      </c>
      <c r="B36" t="s">
        <v>251</v>
      </c>
      <c r="C36" s="18">
        <f>Hist_Balances!$AJ$7+Hist_Balances!$AJ$8+Hist_Balances!$AJ$9</f>
        <v>73595.100000000006</v>
      </c>
      <c r="D36" s="18">
        <f>Assumptions!$H$43*D13*(1+Assumptions!$H$48)</f>
        <v>87796.624077846267</v>
      </c>
      <c r="E36" s="18">
        <f>Assumptions!$H$43*E13*(1+Assumptions!$H$48)</f>
        <v>89667.619230663302</v>
      </c>
      <c r="F36" s="18">
        <f>Assumptions!$H$43*F13*(1+Assumptions!$H$48)</f>
        <v>80940.755783798479</v>
      </c>
      <c r="G36" s="18">
        <f>Assumptions!$H$43*G13*(1+Assumptions!$H$48)</f>
        <v>95120.73508467045</v>
      </c>
      <c r="H36" s="18">
        <f>Assumptions!$H$43*H13*(1+Assumptions!$H$48)</f>
        <v>84313.060016957257</v>
      </c>
      <c r="I36" s="18">
        <f>Assumptions!$H$43*I13*(1+Assumptions!$H$48)</f>
        <v>89667.522714481151</v>
      </c>
      <c r="J36" s="18">
        <f>Assumptions!$H$43*J13*(1+Assumptions!$H$48)</f>
        <v>85455.883705883243</v>
      </c>
      <c r="K36" s="18">
        <f>Assumptions!$H$43*K13*(1+Assumptions!$H$48)</f>
        <v>91760.857825177198</v>
      </c>
      <c r="L36" s="18">
        <f>Assumptions!$H$43*L13*(1+Assumptions!$H$48)</f>
        <v>89582.074877486652</v>
      </c>
      <c r="M36" s="18">
        <f>Assumptions!$H$43*M13*(1+Assumptions!$H$48)</f>
        <v>88489.092663067189</v>
      </c>
      <c r="N36" s="18">
        <f>Assumptions!$H$43*N13*(1+Assumptions!$H$48)</f>
        <v>83947.492442711344</v>
      </c>
      <c r="O36" s="18">
        <f>Assumptions!$H$43*O13*(1+Assumptions!$H$48)</f>
        <v>85618.837562422472</v>
      </c>
    </row>
    <row r="37" spans="1:16" x14ac:dyDescent="0.2">
      <c r="A37" s="8" t="s">
        <v>252</v>
      </c>
      <c r="B37" t="s">
        <v>253</v>
      </c>
      <c r="C37" s="18">
        <f>Hist_Balances!$AJ$10</f>
        <v>505080.18</v>
      </c>
      <c r="D37" s="18">
        <f t="shared" ref="D37:O37" si="12">C37+D96-(D38-C38)+D14+D16</f>
        <v>555488.49641020712</v>
      </c>
      <c r="E37" s="18">
        <f t="shared" si="12"/>
        <v>484614.66413914826</v>
      </c>
      <c r="F37" s="18">
        <f t="shared" si="12"/>
        <v>581628.99917956081</v>
      </c>
      <c r="G37" s="18">
        <f t="shared" si="12"/>
        <v>590785.98659740796</v>
      </c>
      <c r="H37" s="18">
        <f t="shared" si="12"/>
        <v>646673.15522193583</v>
      </c>
      <c r="I37" s="18">
        <f t="shared" si="12"/>
        <v>661798.73315537325</v>
      </c>
      <c r="J37" s="18">
        <f t="shared" si="12"/>
        <v>639173.53594986221</v>
      </c>
      <c r="K37" s="18">
        <f t="shared" si="12"/>
        <v>605407.52686905349</v>
      </c>
      <c r="L37" s="18">
        <f t="shared" si="12"/>
        <v>602266.42405426374</v>
      </c>
      <c r="M37" s="18">
        <f t="shared" si="12"/>
        <v>589957.65498055471</v>
      </c>
      <c r="N37" s="18">
        <f t="shared" si="12"/>
        <v>704263.61859839654</v>
      </c>
      <c r="O37" s="18">
        <f t="shared" si="12"/>
        <v>626305.11749856174</v>
      </c>
    </row>
    <row r="38" spans="1:16" x14ac:dyDescent="0.2">
      <c r="A38" s="8" t="s">
        <v>254</v>
      </c>
      <c r="B38" t="s">
        <v>255</v>
      </c>
      <c r="C38" s="18">
        <f>Hist_Balances!$AJ$11</f>
        <v>279846.23</v>
      </c>
      <c r="D38" s="18">
        <f>Assumptions!$H$42*D48</f>
        <v>278582.38292902993</v>
      </c>
      <c r="E38" s="18">
        <f>Assumptions!$H$42*E48</f>
        <v>323508.09358930221</v>
      </c>
      <c r="F38" s="18">
        <f>Assumptions!$H$42*F48</f>
        <v>318818.33732521214</v>
      </c>
      <c r="G38" s="18">
        <f>Assumptions!$H$42*G48</f>
        <v>338357.39299158548</v>
      </c>
      <c r="H38" s="18">
        <f>Assumptions!$H$42*H48</f>
        <v>293825.85147185583</v>
      </c>
      <c r="I38" s="18">
        <f>Assumptions!$H$42*I48</f>
        <v>310210.55259406765</v>
      </c>
      <c r="J38" s="18">
        <f>Assumptions!$H$42*J48</f>
        <v>330102.03321446531</v>
      </c>
      <c r="K38" s="18">
        <f>Assumptions!$H$42*K48</f>
        <v>334407.37127175875</v>
      </c>
      <c r="L38" s="18">
        <f>Assumptions!$H$42*L48</f>
        <v>312604.91686345136</v>
      </c>
      <c r="M38" s="18">
        <f>Assumptions!$H$42*M48</f>
        <v>308179.82095245324</v>
      </c>
      <c r="N38" s="18">
        <f>Assumptions!$H$42*N48</f>
        <v>299123.3353740857</v>
      </c>
      <c r="O38" s="18">
        <f>Assumptions!$H$42*O48</f>
        <v>308944.3212640073</v>
      </c>
    </row>
    <row r="39" spans="1:16" x14ac:dyDescent="0.2">
      <c r="A39" s="8" t="s">
        <v>256</v>
      </c>
      <c r="B39" t="s">
        <v>257</v>
      </c>
      <c r="C39" s="18">
        <f>Hist_Balances!$AJ$12</f>
        <v>16872.96</v>
      </c>
      <c r="D39" s="18">
        <f>C39+Drivers!D14-Drivers!D13</f>
        <v>11248.64</v>
      </c>
      <c r="E39" s="18">
        <f>D39+Drivers!E14-Drivers!E13</f>
        <v>5624.32</v>
      </c>
      <c r="F39" s="18">
        <f>E39+Drivers!F14-Drivers!F13</f>
        <v>0</v>
      </c>
      <c r="G39" s="18">
        <f>F39+Drivers!G14-Drivers!G13</f>
        <v>64342.220800000003</v>
      </c>
      <c r="H39" s="18">
        <f>G39+Drivers!H14-Drivers!H13</f>
        <v>58492.928</v>
      </c>
      <c r="I39" s="18">
        <f>H39+Drivers!I14-Drivers!I13</f>
        <v>52643.635199999997</v>
      </c>
      <c r="J39" s="18">
        <f>I39+Drivers!J14-Drivers!J13</f>
        <v>46794.342399999994</v>
      </c>
      <c r="K39" s="18">
        <f>J39+Drivers!K14-Drivers!K13</f>
        <v>40945.049599999991</v>
      </c>
      <c r="L39" s="18">
        <f>K39+Drivers!L14-Drivers!L13</f>
        <v>35095.756799999988</v>
      </c>
      <c r="M39" s="18">
        <f>L39+Drivers!M14-Drivers!M13</f>
        <v>29246.463999999989</v>
      </c>
      <c r="N39" s="18">
        <f>M39+Drivers!N14-Drivers!N13</f>
        <v>23397.17119999999</v>
      </c>
      <c r="O39" s="18">
        <f>N39+Drivers!O14-Drivers!O13</f>
        <v>17547.878399999991</v>
      </c>
    </row>
    <row r="40" spans="1:16" x14ac:dyDescent="0.2">
      <c r="A40" s="8" t="s">
        <v>258</v>
      </c>
      <c r="B40" t="s">
        <v>259</v>
      </c>
      <c r="C40" s="18">
        <f>Hist_BS!$AI$11</f>
        <v>0</v>
      </c>
      <c r="D40" s="18">
        <f t="shared" ref="D40:O40" si="13">MAX(0,-D100)</f>
        <v>0</v>
      </c>
      <c r="E40" s="18">
        <f t="shared" si="13"/>
        <v>0</v>
      </c>
      <c r="F40" s="18">
        <f t="shared" si="13"/>
        <v>0</v>
      </c>
      <c r="G40" s="18">
        <f t="shared" si="13"/>
        <v>0</v>
      </c>
      <c r="H40" s="18">
        <f t="shared" si="13"/>
        <v>0</v>
      </c>
      <c r="I40" s="18">
        <f t="shared" si="13"/>
        <v>0</v>
      </c>
      <c r="J40" s="18">
        <f t="shared" si="13"/>
        <v>0</v>
      </c>
      <c r="K40" s="18">
        <f t="shared" si="13"/>
        <v>0</v>
      </c>
      <c r="L40" s="18">
        <f t="shared" si="13"/>
        <v>0</v>
      </c>
      <c r="M40" s="18">
        <f t="shared" si="13"/>
        <v>0</v>
      </c>
      <c r="N40" s="18">
        <f t="shared" si="13"/>
        <v>0</v>
      </c>
      <c r="O40" s="18">
        <f t="shared" si="13"/>
        <v>0</v>
      </c>
    </row>
    <row r="41" spans="1:16" x14ac:dyDescent="0.2">
      <c r="A41" s="16" t="s">
        <v>260</v>
      </c>
      <c r="B41" s="16" t="s">
        <v>261</v>
      </c>
      <c r="C41" s="17">
        <f>Hist_BS!$AI$12</f>
        <v>2597564.2200000002</v>
      </c>
      <c r="D41" s="17">
        <f t="shared" ref="D41:O41" si="14">D35+D36+D37+D38+D39+D40</f>
        <v>2822020.6280737198</v>
      </c>
      <c r="E41" s="17">
        <f t="shared" si="14"/>
        <v>2912075.4981071306</v>
      </c>
      <c r="F41" s="17">
        <f t="shared" si="14"/>
        <v>2662269.0873684445</v>
      </c>
      <c r="G41" s="17">
        <f t="shared" si="14"/>
        <v>2784638.0354268281</v>
      </c>
      <c r="H41" s="17">
        <f t="shared" si="14"/>
        <v>2667950.9602002893</v>
      </c>
      <c r="I41" s="17">
        <f t="shared" si="14"/>
        <v>2634613.0147513449</v>
      </c>
      <c r="J41" s="17">
        <f t="shared" si="14"/>
        <v>2664553.2202504128</v>
      </c>
      <c r="K41" s="17">
        <f t="shared" si="14"/>
        <v>2753799.6825419869</v>
      </c>
      <c r="L41" s="17">
        <f t="shared" si="14"/>
        <v>2770873.2709467676</v>
      </c>
      <c r="M41" s="17">
        <f t="shared" si="14"/>
        <v>2793732.8889173027</v>
      </c>
      <c r="N41" s="17">
        <f t="shared" si="14"/>
        <v>2937375.3329135054</v>
      </c>
      <c r="O41" s="17">
        <f t="shared" si="14"/>
        <v>2851025.2854852853</v>
      </c>
      <c r="P41" s="16"/>
    </row>
    <row r="42" spans="1:16" x14ac:dyDescent="0.2">
      <c r="A42" s="8" t="s">
        <v>262</v>
      </c>
      <c r="B42" t="s">
        <v>263</v>
      </c>
      <c r="C42" s="18">
        <f>Hist_Balances!$AJ$14+Hist_Balances!$AJ$15+Hist_Balances!$AJ$16</f>
        <v>922000</v>
      </c>
      <c r="D42" s="18">
        <f>C42+Drivers!D15</f>
        <v>922000</v>
      </c>
      <c r="E42" s="18">
        <f>D42+Drivers!E15</f>
        <v>922000</v>
      </c>
      <c r="F42" s="18">
        <f>E42+Drivers!F15</f>
        <v>922000</v>
      </c>
      <c r="G42" s="18">
        <f>F42+Drivers!G15</f>
        <v>922000</v>
      </c>
      <c r="H42" s="18">
        <f>G42+Drivers!H15</f>
        <v>922000</v>
      </c>
      <c r="I42" s="18">
        <f>H42+Drivers!I15</f>
        <v>962000</v>
      </c>
      <c r="J42" s="18">
        <f>I42+Drivers!J15</f>
        <v>962000</v>
      </c>
      <c r="K42" s="18">
        <f>J42+Drivers!K15</f>
        <v>962000</v>
      </c>
      <c r="L42" s="18">
        <f>K42+Drivers!L15</f>
        <v>962000</v>
      </c>
      <c r="M42" s="18">
        <f>L42+Drivers!M15</f>
        <v>962000</v>
      </c>
      <c r="N42" s="18">
        <f>M42+Drivers!N15</f>
        <v>962000</v>
      </c>
      <c r="O42" s="18">
        <f>N42+Drivers!O15</f>
        <v>962000</v>
      </c>
    </row>
    <row r="43" spans="1:16" x14ac:dyDescent="0.2">
      <c r="A43" s="8" t="s">
        <v>264</v>
      </c>
      <c r="B43" t="s">
        <v>265</v>
      </c>
      <c r="C43" s="18">
        <f>Hist_Balances!$AJ$17</f>
        <v>-670785.63</v>
      </c>
      <c r="D43" s="18">
        <f t="shared" ref="D43:O43" si="15">C43+D27</f>
        <v>-676798.72</v>
      </c>
      <c r="E43" s="18">
        <f t="shared" si="15"/>
        <v>-682811.80999999994</v>
      </c>
      <c r="F43" s="18">
        <f t="shared" si="15"/>
        <v>-688824.89999999991</v>
      </c>
      <c r="G43" s="18">
        <f t="shared" si="15"/>
        <v>-694837.98999999987</v>
      </c>
      <c r="H43" s="18">
        <f t="shared" si="15"/>
        <v>-700851.07999999984</v>
      </c>
      <c r="I43" s="18">
        <f t="shared" si="15"/>
        <v>-706864.16999999981</v>
      </c>
      <c r="J43" s="18">
        <f t="shared" si="15"/>
        <v>-713353.45047619031</v>
      </c>
      <c r="K43" s="18">
        <f t="shared" si="15"/>
        <v>-719842.73095238081</v>
      </c>
      <c r="L43" s="18">
        <f t="shared" si="15"/>
        <v>-726332.01142857131</v>
      </c>
      <c r="M43" s="18">
        <f t="shared" si="15"/>
        <v>-732821.29190476181</v>
      </c>
      <c r="N43" s="18">
        <f t="shared" si="15"/>
        <v>-739310.5723809523</v>
      </c>
      <c r="O43" s="18">
        <f t="shared" si="15"/>
        <v>-745799.8528571428</v>
      </c>
    </row>
    <row r="44" spans="1:16" x14ac:dyDescent="0.2">
      <c r="A44" s="16" t="s">
        <v>266</v>
      </c>
      <c r="B44" s="16" t="s">
        <v>267</v>
      </c>
      <c r="C44" s="17">
        <f>Hist_BS!$AI$15</f>
        <v>251214.37</v>
      </c>
      <c r="D44" s="17">
        <f t="shared" ref="D44:O44" si="16">D42+D43</f>
        <v>245201.28000000003</v>
      </c>
      <c r="E44" s="17">
        <f t="shared" si="16"/>
        <v>239188.19000000006</v>
      </c>
      <c r="F44" s="17">
        <f t="shared" si="16"/>
        <v>233175.10000000009</v>
      </c>
      <c r="G44" s="17">
        <f t="shared" si="16"/>
        <v>227162.01000000013</v>
      </c>
      <c r="H44" s="17">
        <f t="shared" si="16"/>
        <v>221148.92000000016</v>
      </c>
      <c r="I44" s="17">
        <f t="shared" si="16"/>
        <v>255135.83000000019</v>
      </c>
      <c r="J44" s="17">
        <f t="shared" si="16"/>
        <v>248646.54952380969</v>
      </c>
      <c r="K44" s="17">
        <f t="shared" si="16"/>
        <v>242157.26904761919</v>
      </c>
      <c r="L44" s="17">
        <f t="shared" si="16"/>
        <v>235667.98857142869</v>
      </c>
      <c r="M44" s="17">
        <f t="shared" si="16"/>
        <v>229178.70809523819</v>
      </c>
      <c r="N44" s="17">
        <f t="shared" si="16"/>
        <v>222689.4276190477</v>
      </c>
      <c r="O44" s="17">
        <f t="shared" si="16"/>
        <v>216200.1471428572</v>
      </c>
      <c r="P44" s="16"/>
    </row>
    <row r="45" spans="1:16" x14ac:dyDescent="0.2">
      <c r="A45" s="16" t="s">
        <v>268</v>
      </c>
      <c r="B45" s="16" t="s">
        <v>269</v>
      </c>
      <c r="C45" s="17">
        <f>Hist_BS!$AI$16</f>
        <v>2848778.5900000003</v>
      </c>
      <c r="D45" s="17">
        <f t="shared" ref="D45:O45" si="17">D41+D44</f>
        <v>3067221.9080737196</v>
      </c>
      <c r="E45" s="17">
        <f t="shared" si="17"/>
        <v>3151263.6881071306</v>
      </c>
      <c r="F45" s="17">
        <f t="shared" si="17"/>
        <v>2895444.1873684446</v>
      </c>
      <c r="G45" s="17">
        <f t="shared" si="17"/>
        <v>3011800.0454268283</v>
      </c>
      <c r="H45" s="17">
        <f t="shared" si="17"/>
        <v>2889099.8802002892</v>
      </c>
      <c r="I45" s="17">
        <f t="shared" si="17"/>
        <v>2889748.844751345</v>
      </c>
      <c r="J45" s="17">
        <f t="shared" si="17"/>
        <v>2913199.7697742227</v>
      </c>
      <c r="K45" s="17">
        <f t="shared" si="17"/>
        <v>2995956.9515896062</v>
      </c>
      <c r="L45" s="17">
        <f t="shared" si="17"/>
        <v>3006541.2595181963</v>
      </c>
      <c r="M45" s="17">
        <f t="shared" si="17"/>
        <v>3022911.5970125408</v>
      </c>
      <c r="N45" s="17">
        <f t="shared" si="17"/>
        <v>3160064.7605325533</v>
      </c>
      <c r="O45" s="17">
        <f t="shared" si="17"/>
        <v>3067225.4326281426</v>
      </c>
      <c r="P45" s="16"/>
    </row>
    <row r="46" spans="1:16" x14ac:dyDescent="0.2">
      <c r="A46" s="8" t="s">
        <v>270</v>
      </c>
      <c r="B46" t="s">
        <v>271</v>
      </c>
      <c r="C46" s="18">
        <f>-(Hist_Balances!$AJ$18+Hist_Balances!$AJ$19)</f>
        <v>514000.7</v>
      </c>
      <c r="D46" s="18">
        <f>(Assumptions!$H$44+Assumptions!$H$13)/30.4*D96*(1+Assumptions!$H$35)*(1+Assumptions!$H$48)+Assumptions!$H$45*Drivers!D12*(1+Assumptions!$H$48)</f>
        <v>710764.49885864276</v>
      </c>
      <c r="E46" s="18">
        <f>(Assumptions!$H$44+Assumptions!$H$13)/30.4*E96*(1+Assumptions!$H$35)*(1+Assumptions!$H$48)+Assumptions!$H$45*Drivers!E12*(1+Assumptions!$H$48)</f>
        <v>641615.07743557612</v>
      </c>
      <c r="F46" s="18">
        <f>(Assumptions!$H$44+Assumptions!$H$13)/30.4*F96*(1+Assumptions!$H$35)*(1+Assumptions!$H$48)+Assumptions!$H$45*Drivers!F12*(1+Assumptions!$H$48)</f>
        <v>719600.0004693151</v>
      </c>
      <c r="G46" s="18">
        <f>(Assumptions!$H$44+Assumptions!$H$13)/30.4*G96*(1+Assumptions!$H$35)*(1+Assumptions!$H$48)+Assumptions!$H$45*Drivers!G12*(1+Assumptions!$H$48)</f>
        <v>736278.38317197864</v>
      </c>
      <c r="H46" s="18">
        <f>(Assumptions!$H$44+Assumptions!$H$13)/30.4*H96*(1+Assumptions!$H$35)*(1+Assumptions!$H$48)+Assumptions!$H$45*Drivers!H12*(1+Assumptions!$H$48)</f>
        <v>654599.55193486612</v>
      </c>
      <c r="I46" s="18">
        <f>(Assumptions!$H$44+Assumptions!$H$13)/30.4*I96*(1+Assumptions!$H$35)*(1+Assumptions!$H$48)+Assumptions!$H$45*Drivers!I12*(1+Assumptions!$H$48)</f>
        <v>678630.36193402426</v>
      </c>
      <c r="J46" s="18">
        <f>(Assumptions!$H$44+Assumptions!$H$13)/30.4*J96*(1+Assumptions!$H$35)*(1+Assumptions!$H$48)+Assumptions!$H$45*Drivers!J12*(1+Assumptions!$H$48)</f>
        <v>650791.90840286482</v>
      </c>
      <c r="K46" s="18">
        <f>(Assumptions!$H$44+Assumptions!$H$13)/30.4*K96*(1+Assumptions!$H$35)*(1+Assumptions!$H$48)+Assumptions!$H$45*Drivers!K12*(1+Assumptions!$H$48)</f>
        <v>649065.55509520555</v>
      </c>
      <c r="L46" s="18">
        <f>(Assumptions!$H$44+Assumptions!$H$13)/30.4*L96*(1+Assumptions!$H$35)*(1+Assumptions!$H$48)+Assumptions!$H$45*Drivers!L12*(1+Assumptions!$H$48)</f>
        <v>631367.16677935526</v>
      </c>
      <c r="M46" s="18">
        <f>(Assumptions!$H$44+Assumptions!$H$13)/30.4*M96*(1+Assumptions!$H$35)*(1+Assumptions!$H$48)+Assumptions!$H$45*Drivers!M12*(1+Assumptions!$H$48)</f>
        <v>624471.71023354586</v>
      </c>
      <c r="N46" s="18">
        <f>(Assumptions!$H$44+Assumptions!$H$13)/30.4*N96*(1+Assumptions!$H$35)*(1+Assumptions!$H$48)+Assumptions!$H$45*Drivers!N12*(1+Assumptions!$H$48)</f>
        <v>738112.54391931661</v>
      </c>
      <c r="O46" s="18">
        <f>(Assumptions!$H$44+Assumptions!$H$13)/30.4*O96*(1+Assumptions!$H$35)*(1+Assumptions!$H$48)+Assumptions!$H$45*Drivers!O12*(1+Assumptions!$H$48)</f>
        <v>571193.84797691309</v>
      </c>
    </row>
    <row r="47" spans="1:16" x14ac:dyDescent="0.2">
      <c r="A47" s="8" t="s">
        <v>272</v>
      </c>
      <c r="B47" t="s">
        <v>273</v>
      </c>
      <c r="C47" s="18">
        <f>-Hist_Balances!$AJ$20</f>
        <v>68086</v>
      </c>
      <c r="D47" s="18">
        <f>Assumptions!$H$47*D94</f>
        <v>69051.736412346581</v>
      </c>
      <c r="E47" s="18">
        <f>Assumptions!$H$47*E94</f>
        <v>68092.761971532251</v>
      </c>
      <c r="F47" s="18">
        <f>Assumptions!$H$47*F94</f>
        <v>67041.254446635459</v>
      </c>
      <c r="G47" s="18">
        <f>Assumptions!$H$47*G94</f>
        <v>72220.636612644128</v>
      </c>
      <c r="H47" s="18">
        <f>Assumptions!$H$47*H94</f>
        <v>65459.448440883716</v>
      </c>
      <c r="I47" s="18">
        <f>Assumptions!$H$47*I94</f>
        <v>71750.305739347459</v>
      </c>
      <c r="J47" s="18">
        <f>Assumptions!$H$47*J94</f>
        <v>69411.612060171872</v>
      </c>
      <c r="K47" s="18">
        <f>Assumptions!$H$47*K94</f>
        <v>70248.951593490696</v>
      </c>
      <c r="L47" s="18">
        <f>Assumptions!$H$47*L94</f>
        <v>70902.425898583169</v>
      </c>
      <c r="M47" s="18">
        <f>Assumptions!$H$47*M94</f>
        <v>70703.045878131888</v>
      </c>
      <c r="N47" s="18">
        <f>Assumptions!$H$47*N94</f>
        <v>70151.29073822491</v>
      </c>
      <c r="O47" s="18">
        <f>Assumptions!$H$47*O94</f>
        <v>70264.49636512305</v>
      </c>
    </row>
    <row r="48" spans="1:16" x14ac:dyDescent="0.2">
      <c r="A48" s="8" t="s">
        <v>274</v>
      </c>
      <c r="B48" t="s">
        <v>275</v>
      </c>
      <c r="C48" s="18">
        <f>-Hist_Balances!$AJ$22</f>
        <v>495984.1</v>
      </c>
      <c r="D48" s="18">
        <f>Assumptions!$H$41*D91*(1+Assumptions!$H$48)</f>
        <v>493416.03170369985</v>
      </c>
      <c r="E48" s="18">
        <f>Assumptions!$H$41*E91*(1+Assumptions!$H$48)</f>
        <v>572986.98533829243</v>
      </c>
      <c r="F48" s="18">
        <f>Assumptions!$H$41*F91*(1+Assumptions!$H$48)</f>
        <v>564680.6419824945</v>
      </c>
      <c r="G48" s="18">
        <f>Assumptions!$H$41*G91*(1+Assumptions!$H$48)</f>
        <v>599287.58018431067</v>
      </c>
      <c r="H48" s="18">
        <f>Assumptions!$H$41*H91*(1+Assumptions!$H$48)</f>
        <v>520414.76607706991</v>
      </c>
      <c r="I48" s="18">
        <f>Assumptions!$H$41*I91*(1+Assumptions!$H$48)</f>
        <v>549434.81437794352</v>
      </c>
      <c r="J48" s="18">
        <f>Assumptions!$H$41*J91*(1+Assumptions!$H$48)</f>
        <v>584665.95616528334</v>
      </c>
      <c r="K48" s="18">
        <f>Assumptions!$H$41*K91*(1+Assumptions!$H$48)</f>
        <v>592291.43052958953</v>
      </c>
      <c r="L48" s="18">
        <f>Assumptions!$H$41*L91*(1+Assumptions!$H$48)</f>
        <v>553675.63428848831</v>
      </c>
      <c r="M48" s="18">
        <f>Assumptions!$H$41*M91*(1+Assumptions!$H$48)</f>
        <v>545838.04871916247</v>
      </c>
      <c r="N48" s="18">
        <f>Assumptions!$H$41*N91*(1+Assumptions!$H$48)</f>
        <v>529797.49680673843</v>
      </c>
      <c r="O48" s="18">
        <f>Assumptions!$H$41*O91*(1+Assumptions!$H$48)</f>
        <v>547192.1067396201</v>
      </c>
    </row>
    <row r="49" spans="1:16" x14ac:dyDescent="0.2">
      <c r="A49" s="8" t="s">
        <v>276</v>
      </c>
      <c r="B49" t="s">
        <v>277</v>
      </c>
      <c r="C49" s="18">
        <f>-(Hist_Balances!$AJ$23+Hist_Balances!$AJ$24)</f>
        <v>7385.26</v>
      </c>
      <c r="D49" s="18">
        <f>Assumptions!$H$46*D11</f>
        <v>7236.7487876021905</v>
      </c>
      <c r="E49" s="18">
        <f>Assumptions!$H$46*E11</f>
        <v>7390.9679508783665</v>
      </c>
      <c r="F49" s="18">
        <f>Assumptions!$H$46*F11</f>
        <v>6671.6450938551579</v>
      </c>
      <c r="G49" s="18">
        <f>Assumptions!$H$46*G11</f>
        <v>7840.4479845314854</v>
      </c>
      <c r="H49" s="18">
        <f>Assumptions!$H$46*H11</f>
        <v>6949.6115740822215</v>
      </c>
      <c r="I49" s="18">
        <f>Assumptions!$H$46*I11</f>
        <v>7390.9599954088753</v>
      </c>
      <c r="J49" s="18">
        <f>Assumptions!$H$46*J11</f>
        <v>7043.8102751387123</v>
      </c>
      <c r="K49" s="18">
        <f>Assumptions!$H$46*K11</f>
        <v>7563.5058134683804</v>
      </c>
      <c r="L49" s="18">
        <f>Assumptions!$H$46*L11</f>
        <v>7383.916848394193</v>
      </c>
      <c r="M49" s="18">
        <f>Assumptions!$H$46*M11</f>
        <v>7293.8263944826886</v>
      </c>
      <c r="N49" s="18">
        <f>Assumptions!$H$46*N11</f>
        <v>6919.4792002296099</v>
      </c>
      <c r="O49" s="18">
        <f>Assumptions!$H$46*O11</f>
        <v>7057.2419547292602</v>
      </c>
    </row>
    <row r="50" spans="1:16" x14ac:dyDescent="0.2">
      <c r="A50" s="8" t="s">
        <v>278</v>
      </c>
      <c r="B50" t="s">
        <v>279</v>
      </c>
      <c r="C50" s="18">
        <f>Hist_BS!$AI$21</f>
        <v>36831.760000000002</v>
      </c>
      <c r="D50" s="18">
        <f t="shared" ref="D50:O50" si="18">MAX(0,D100)</f>
        <v>8447.518281336721</v>
      </c>
      <c r="E50" s="18">
        <f t="shared" si="18"/>
        <v>21108.984148942225</v>
      </c>
      <c r="F50" s="18">
        <f t="shared" si="18"/>
        <v>25892.387616038752</v>
      </c>
      <c r="G50" s="18">
        <f t="shared" si="18"/>
        <v>10728.724885525779</v>
      </c>
      <c r="H50" s="18">
        <f t="shared" si="18"/>
        <v>20250.156337332293</v>
      </c>
      <c r="I50" s="18">
        <f t="shared" si="18"/>
        <v>28979.215113222112</v>
      </c>
      <c r="J50" s="18">
        <f t="shared" si="18"/>
        <v>10276.000423338672</v>
      </c>
      <c r="K50" s="18">
        <f t="shared" si="18"/>
        <v>23567.180652670846</v>
      </c>
      <c r="L50" s="18">
        <f t="shared" si="18"/>
        <v>36612.777078460844</v>
      </c>
      <c r="M50" s="18">
        <f t="shared" si="18"/>
        <v>12799.675754329597</v>
      </c>
      <c r="N50" s="18">
        <f t="shared" si="18"/>
        <v>18040.669188549989</v>
      </c>
      <c r="O50" s="18">
        <f t="shared" si="18"/>
        <v>32153.685859115474</v>
      </c>
    </row>
    <row r="51" spans="1:16" x14ac:dyDescent="0.2">
      <c r="A51" s="8" t="s">
        <v>280</v>
      </c>
      <c r="B51" t="s">
        <v>281</v>
      </c>
      <c r="C51" s="18">
        <f>-Hist_Balances!$AJ$25</f>
        <v>92289.97</v>
      </c>
      <c r="D51" s="18">
        <f t="shared" ref="D51:O51" si="19">C51-D31-D111</f>
        <v>106603.16662692101</v>
      </c>
      <c r="E51" s="18">
        <f t="shared" si="19"/>
        <v>123204.61429023906</v>
      </c>
      <c r="F51" s="18">
        <f t="shared" si="19"/>
        <v>130082.99808482418</v>
      </c>
      <c r="G51" s="18">
        <f t="shared" si="19"/>
        <v>139356.29341587468</v>
      </c>
      <c r="H51" s="18">
        <f t="shared" si="19"/>
        <v>144460.15517317862</v>
      </c>
      <c r="I51" s="18">
        <f t="shared" si="19"/>
        <v>22367.173170772905</v>
      </c>
      <c r="J51" s="18">
        <f t="shared" si="19"/>
        <v>27632.209304935783</v>
      </c>
      <c r="K51" s="18">
        <f t="shared" si="19"/>
        <v>35621.12600528889</v>
      </c>
      <c r="L51" s="18">
        <f t="shared" si="19"/>
        <v>42638.650884459617</v>
      </c>
      <c r="M51" s="18">
        <f t="shared" si="19"/>
        <v>49857.139239336728</v>
      </c>
      <c r="N51" s="18">
        <f t="shared" si="19"/>
        <v>54879.151910463275</v>
      </c>
      <c r="O51" s="18">
        <f t="shared" si="19"/>
        <v>66876.929533192815</v>
      </c>
    </row>
    <row r="52" spans="1:16" x14ac:dyDescent="0.2">
      <c r="A52" s="8" t="s">
        <v>282</v>
      </c>
      <c r="B52" t="s">
        <v>283</v>
      </c>
      <c r="C52" s="18">
        <f>-Hist_Balances!$AJ$26</f>
        <v>0</v>
      </c>
      <c r="D52" s="18">
        <f t="shared" ref="D52:O52" si="20">C52+D74+D75</f>
        <v>0</v>
      </c>
      <c r="E52" s="18">
        <f t="shared" si="20"/>
        <v>0</v>
      </c>
      <c r="F52" s="18">
        <f t="shared" si="20"/>
        <v>0</v>
      </c>
      <c r="G52" s="18">
        <f t="shared" si="20"/>
        <v>0</v>
      </c>
      <c r="H52" s="18">
        <f t="shared" si="20"/>
        <v>0</v>
      </c>
      <c r="I52" s="18">
        <f t="shared" si="20"/>
        <v>0</v>
      </c>
      <c r="J52" s="18">
        <f t="shared" si="20"/>
        <v>0</v>
      </c>
      <c r="K52" s="18">
        <f t="shared" si="20"/>
        <v>0</v>
      </c>
      <c r="L52" s="18">
        <f t="shared" si="20"/>
        <v>0</v>
      </c>
      <c r="M52" s="18">
        <f t="shared" si="20"/>
        <v>0</v>
      </c>
      <c r="N52" s="18">
        <f t="shared" si="20"/>
        <v>0</v>
      </c>
      <c r="O52" s="18">
        <f t="shared" si="20"/>
        <v>0</v>
      </c>
    </row>
    <row r="53" spans="1:16" x14ac:dyDescent="0.2">
      <c r="A53" s="8" t="s">
        <v>284</v>
      </c>
      <c r="B53" t="s">
        <v>285</v>
      </c>
      <c r="C53" s="18">
        <f>Hist_BS!$AI$24</f>
        <v>125000.04</v>
      </c>
      <c r="D53" s="18">
        <f>MIN(D104,12*Assumptions!$H$57)</f>
        <v>125000.04000000001</v>
      </c>
      <c r="E53" s="18">
        <f>MIN(E104,12*Assumptions!$H$57)</f>
        <v>125000.04000000001</v>
      </c>
      <c r="F53" s="18">
        <f>MIN(F104,12*Assumptions!$H$57)</f>
        <v>124999.87999999999</v>
      </c>
      <c r="G53" s="18">
        <f>MIN(G104,12*Assumptions!$H$57)</f>
        <v>114583.20999999999</v>
      </c>
      <c r="H53" s="18">
        <f>MIN(H104,12*Assumptions!$H$57)</f>
        <v>104166.54</v>
      </c>
      <c r="I53" s="18">
        <f>MIN(I104,12*Assumptions!$H$57)</f>
        <v>93749.87</v>
      </c>
      <c r="J53" s="18">
        <f>MIN(J104,12*Assumptions!$H$57)</f>
        <v>83333.2</v>
      </c>
      <c r="K53" s="18">
        <f>MIN(K104,12*Assumptions!$H$57)</f>
        <v>72916.53</v>
      </c>
      <c r="L53" s="18">
        <f>MIN(L104,12*Assumptions!$H$57)</f>
        <v>62499.86</v>
      </c>
      <c r="M53" s="18">
        <f>MIN(M104,12*Assumptions!$H$57)</f>
        <v>52083.19</v>
      </c>
      <c r="N53" s="18">
        <f>MIN(N104,12*Assumptions!$H$57)</f>
        <v>41666.520000000004</v>
      </c>
      <c r="O53" s="18">
        <f>MIN(O104,12*Assumptions!$H$57)</f>
        <v>31249.850000000006</v>
      </c>
    </row>
    <row r="54" spans="1:16" x14ac:dyDescent="0.2">
      <c r="A54" s="16" t="s">
        <v>286</v>
      </c>
      <c r="B54" s="16" t="s">
        <v>287</v>
      </c>
      <c r="C54" s="17">
        <f>Hist_BS!$AI$25</f>
        <v>1339577.8299999998</v>
      </c>
      <c r="D54" s="17">
        <f t="shared" ref="D54:O54" si="21">D46+D47+D48+D49+D50+D51+D52+D53</f>
        <v>1520519.740670549</v>
      </c>
      <c r="E54" s="17">
        <f t="shared" si="21"/>
        <v>1559399.4311354605</v>
      </c>
      <c r="F54" s="17">
        <f t="shared" si="21"/>
        <v>1638968.8076931634</v>
      </c>
      <c r="G54" s="17">
        <f t="shared" si="21"/>
        <v>1680295.2762548656</v>
      </c>
      <c r="H54" s="17">
        <f t="shared" si="21"/>
        <v>1516300.2295374125</v>
      </c>
      <c r="I54" s="17">
        <f t="shared" si="21"/>
        <v>1452302.7003307189</v>
      </c>
      <c r="J54" s="17">
        <f t="shared" si="21"/>
        <v>1433154.6966317333</v>
      </c>
      <c r="K54" s="17">
        <f t="shared" si="21"/>
        <v>1451274.2796897138</v>
      </c>
      <c r="L54" s="17">
        <f t="shared" si="21"/>
        <v>1405080.4317777415</v>
      </c>
      <c r="M54" s="17">
        <f t="shared" si="21"/>
        <v>1363046.6362189895</v>
      </c>
      <c r="N54" s="17">
        <f t="shared" si="21"/>
        <v>1459567.1517635228</v>
      </c>
      <c r="O54" s="17">
        <f t="shared" si="21"/>
        <v>1325988.1584286941</v>
      </c>
      <c r="P54" s="16"/>
    </row>
    <row r="55" spans="1:16" x14ac:dyDescent="0.2">
      <c r="A55" s="8" t="s">
        <v>288</v>
      </c>
      <c r="B55" t="s">
        <v>289</v>
      </c>
      <c r="C55" s="18">
        <f>Hist_BS!$AI$26</f>
        <v>31249.85</v>
      </c>
      <c r="D55" s="18">
        <f t="shared" ref="D55:O55" si="22">D104-D53</f>
        <v>20833.179999999993</v>
      </c>
      <c r="E55" s="18">
        <f t="shared" si="22"/>
        <v>10416.50999999998</v>
      </c>
      <c r="F55" s="18">
        <f t="shared" si="22"/>
        <v>0</v>
      </c>
      <c r="G55" s="18">
        <f t="shared" si="22"/>
        <v>0</v>
      </c>
      <c r="H55" s="18">
        <f t="shared" si="22"/>
        <v>0</v>
      </c>
      <c r="I55" s="18">
        <f t="shared" si="22"/>
        <v>0</v>
      </c>
      <c r="J55" s="18">
        <f t="shared" si="22"/>
        <v>0</v>
      </c>
      <c r="K55" s="18">
        <f t="shared" si="22"/>
        <v>0</v>
      </c>
      <c r="L55" s="18">
        <f t="shared" si="22"/>
        <v>0</v>
      </c>
      <c r="M55" s="18">
        <f t="shared" si="22"/>
        <v>0</v>
      </c>
      <c r="N55" s="18">
        <f t="shared" si="22"/>
        <v>0</v>
      </c>
      <c r="O55" s="18">
        <f t="shared" si="22"/>
        <v>0</v>
      </c>
    </row>
    <row r="56" spans="1:16" x14ac:dyDescent="0.2">
      <c r="A56" s="16" t="s">
        <v>290</v>
      </c>
      <c r="B56" s="16" t="s">
        <v>291</v>
      </c>
      <c r="C56" s="17">
        <f>Hist_BS!$AI$27</f>
        <v>1370827.68</v>
      </c>
      <c r="D56" s="17">
        <f t="shared" ref="D56:O56" si="23">D54+D55</f>
        <v>1541352.9206705489</v>
      </c>
      <c r="E56" s="17">
        <f t="shared" si="23"/>
        <v>1569815.9411354605</v>
      </c>
      <c r="F56" s="17">
        <f t="shared" si="23"/>
        <v>1638968.8076931634</v>
      </c>
      <c r="G56" s="17">
        <f t="shared" si="23"/>
        <v>1680295.2762548656</v>
      </c>
      <c r="H56" s="17">
        <f t="shared" si="23"/>
        <v>1516300.2295374125</v>
      </c>
      <c r="I56" s="17">
        <f t="shared" si="23"/>
        <v>1452302.7003307189</v>
      </c>
      <c r="J56" s="17">
        <f t="shared" si="23"/>
        <v>1433154.6966317333</v>
      </c>
      <c r="K56" s="17">
        <f t="shared" si="23"/>
        <v>1451274.2796897138</v>
      </c>
      <c r="L56" s="17">
        <f t="shared" si="23"/>
        <v>1405080.4317777415</v>
      </c>
      <c r="M56" s="17">
        <f t="shared" si="23"/>
        <v>1363046.6362189895</v>
      </c>
      <c r="N56" s="17">
        <f t="shared" si="23"/>
        <v>1459567.1517635228</v>
      </c>
      <c r="O56" s="17">
        <f t="shared" si="23"/>
        <v>1325988.1584286941</v>
      </c>
      <c r="P56" s="16"/>
    </row>
    <row r="57" spans="1:16" x14ac:dyDescent="0.2">
      <c r="A57" s="8" t="s">
        <v>292</v>
      </c>
      <c r="B57" t="s">
        <v>293</v>
      </c>
      <c r="C57" s="18">
        <f>-Hist_Balances!$AJ$28</f>
        <v>250000</v>
      </c>
      <c r="D57" s="18">
        <f t="shared" ref="D57:O57" si="24">C57</f>
        <v>250000</v>
      </c>
      <c r="E57" s="18">
        <f t="shared" si="24"/>
        <v>250000</v>
      </c>
      <c r="F57" s="18">
        <f t="shared" si="24"/>
        <v>250000</v>
      </c>
      <c r="G57" s="18">
        <f t="shared" si="24"/>
        <v>250000</v>
      </c>
      <c r="H57" s="18">
        <f t="shared" si="24"/>
        <v>250000</v>
      </c>
      <c r="I57" s="18">
        <f t="shared" si="24"/>
        <v>250000</v>
      </c>
      <c r="J57" s="18">
        <f t="shared" si="24"/>
        <v>250000</v>
      </c>
      <c r="K57" s="18">
        <f t="shared" si="24"/>
        <v>250000</v>
      </c>
      <c r="L57" s="18">
        <f t="shared" si="24"/>
        <v>250000</v>
      </c>
      <c r="M57" s="18">
        <f t="shared" si="24"/>
        <v>250000</v>
      </c>
      <c r="N57" s="18">
        <f t="shared" si="24"/>
        <v>250000</v>
      </c>
      <c r="O57" s="18">
        <f t="shared" si="24"/>
        <v>250000</v>
      </c>
    </row>
    <row r="58" spans="1:16" x14ac:dyDescent="0.2">
      <c r="A58" s="8" t="s">
        <v>294</v>
      </c>
      <c r="B58" t="s">
        <v>295</v>
      </c>
      <c r="C58" s="18">
        <f>-(Hist_Balances!$AJ$29+Hist_Balances!$AJ$30)</f>
        <v>658110.56000000006</v>
      </c>
      <c r="D58" s="18">
        <f>C58+IF(Drivers!D22,C59+D32,0)+D76</f>
        <v>658110.56000000006</v>
      </c>
      <c r="E58" s="18">
        <f>D58+IF(Drivers!E22,D59+E32,0)+E76</f>
        <v>658110.56000000006</v>
      </c>
      <c r="F58" s="18">
        <f>E58+IF(Drivers!F22,E59+F32,0)+F76</f>
        <v>1006475.3796752815</v>
      </c>
      <c r="G58" s="18">
        <f>F58+IF(Drivers!G22,F59+G32,0)+G76</f>
        <v>1006475.3796752815</v>
      </c>
      <c r="H58" s="18">
        <f>G58+IF(Drivers!H22,G59+H32,0)+H76</f>
        <v>1006475.3796752815</v>
      </c>
      <c r="I58" s="18">
        <f>H58+IF(Drivers!I22,H59+I32,0)+I76</f>
        <v>1006475.3796752815</v>
      </c>
      <c r="J58" s="18">
        <f>I58+IF(Drivers!J22,I59+J32,0)+J76</f>
        <v>1006475.3796752815</v>
      </c>
      <c r="K58" s="18">
        <f>J58+IF(Drivers!K22,J59+K32,0)+K76</f>
        <v>1006475.3796752815</v>
      </c>
      <c r="L58" s="18">
        <f>K58+IF(Drivers!L22,K59+L32,0)+L76</f>
        <v>1006475.3796752815</v>
      </c>
      <c r="M58" s="18">
        <f>L58+IF(Drivers!M22,L59+M32,0)+M76</f>
        <v>1006475.3796752815</v>
      </c>
      <c r="N58" s="18">
        <f>M58+IF(Drivers!N22,M59+N32,0)+N76</f>
        <v>1006475.3796752815</v>
      </c>
      <c r="O58" s="18">
        <f>N58+IF(Drivers!O22,N59+O32,0)+O76</f>
        <v>1006475.3796752815</v>
      </c>
    </row>
    <row r="59" spans="1:16" x14ac:dyDescent="0.2">
      <c r="A59" s="8" t="s">
        <v>296</v>
      </c>
      <c r="B59" t="s">
        <v>297</v>
      </c>
      <c r="C59" s="18">
        <f>Hist_BS!$AI$30</f>
        <v>569840.35</v>
      </c>
      <c r="D59" s="18">
        <f>IF(Drivers!D22,0,C59+D32)</f>
        <v>617758.42740317073</v>
      </c>
      <c r="E59" s="18">
        <f>IF(Drivers!E22,0,D59+E32)</f>
        <v>673337.18697167037</v>
      </c>
      <c r="F59" s="18">
        <f>IF(Drivers!F22,0,E59+F32)</f>
        <v>0</v>
      </c>
      <c r="G59" s="18">
        <f>IF(Drivers!G22,0,F59+G32)</f>
        <v>75029.389496681208</v>
      </c>
      <c r="H59" s="18">
        <f>IF(Drivers!H22,0,G59+H32)</f>
        <v>116324.27098759497</v>
      </c>
      <c r="I59" s="18">
        <f>IF(Drivers!I22,0,H59+I32)</f>
        <v>180970.76474534441</v>
      </c>
      <c r="J59" s="18">
        <f>IF(Drivers!J22,0,I59+J32)</f>
        <v>223569.69346720772</v>
      </c>
      <c r="K59" s="18">
        <f>IF(Drivers!K22,0,J59+K32)</f>
        <v>288207.29222461017</v>
      </c>
      <c r="L59" s="18">
        <f>IF(Drivers!L22,0,K59+L32)</f>
        <v>344985.44806517329</v>
      </c>
      <c r="M59" s="18">
        <f>IF(Drivers!M22,0,L59+M32)</f>
        <v>403389.58111826988</v>
      </c>
      <c r="N59" s="18">
        <f>IF(Drivers!N22,0,M59+N32)</f>
        <v>444022.22909374838</v>
      </c>
      <c r="O59" s="18">
        <f>IF(Drivers!O22,0,N59+O32)</f>
        <v>484761.89452416729</v>
      </c>
    </row>
    <row r="60" spans="1:16" x14ac:dyDescent="0.2">
      <c r="A60" s="16" t="s">
        <v>298</v>
      </c>
      <c r="B60" s="16" t="s">
        <v>299</v>
      </c>
      <c r="C60" s="17">
        <f>Hist_BS!$AI$31</f>
        <v>1477950.9100000001</v>
      </c>
      <c r="D60" s="17">
        <f t="shared" ref="D60:O60" si="25">D57+D58+D59</f>
        <v>1525868.9874031707</v>
      </c>
      <c r="E60" s="17">
        <f t="shared" si="25"/>
        <v>1581447.7469716705</v>
      </c>
      <c r="F60" s="17">
        <f t="shared" si="25"/>
        <v>1256475.3796752815</v>
      </c>
      <c r="G60" s="17">
        <f t="shared" si="25"/>
        <v>1331504.7691719627</v>
      </c>
      <c r="H60" s="17">
        <f t="shared" si="25"/>
        <v>1372799.6506628764</v>
      </c>
      <c r="I60" s="17">
        <f t="shared" si="25"/>
        <v>1437446.1444206259</v>
      </c>
      <c r="J60" s="17">
        <f t="shared" si="25"/>
        <v>1480045.0731424892</v>
      </c>
      <c r="K60" s="17">
        <f t="shared" si="25"/>
        <v>1544682.6718998917</v>
      </c>
      <c r="L60" s="17">
        <f t="shared" si="25"/>
        <v>1601460.8277404548</v>
      </c>
      <c r="M60" s="17">
        <f t="shared" si="25"/>
        <v>1659864.9607935513</v>
      </c>
      <c r="N60" s="17">
        <f t="shared" si="25"/>
        <v>1700497.6087690298</v>
      </c>
      <c r="O60" s="17">
        <f t="shared" si="25"/>
        <v>1741237.2741994488</v>
      </c>
      <c r="P60" s="16"/>
    </row>
    <row r="61" spans="1:16" x14ac:dyDescent="0.2">
      <c r="A61" s="16" t="s">
        <v>300</v>
      </c>
      <c r="B61" s="16" t="s">
        <v>301</v>
      </c>
      <c r="C61" s="17">
        <f>Hist_BS!$AI$32</f>
        <v>2848778.59</v>
      </c>
      <c r="D61" s="17">
        <f t="shared" ref="D61:O61" si="26">D56+D60</f>
        <v>3067221.9080737196</v>
      </c>
      <c r="E61" s="17">
        <f t="shared" si="26"/>
        <v>3151263.688107131</v>
      </c>
      <c r="F61" s="17">
        <f t="shared" si="26"/>
        <v>2895444.1873684451</v>
      </c>
      <c r="G61" s="17">
        <f t="shared" si="26"/>
        <v>3011800.0454268283</v>
      </c>
      <c r="H61" s="17">
        <f t="shared" si="26"/>
        <v>2889099.8802002892</v>
      </c>
      <c r="I61" s="17">
        <f t="shared" si="26"/>
        <v>2889748.844751345</v>
      </c>
      <c r="J61" s="17">
        <f t="shared" si="26"/>
        <v>2913199.7697742227</v>
      </c>
      <c r="K61" s="17">
        <f t="shared" si="26"/>
        <v>2995956.9515896058</v>
      </c>
      <c r="L61" s="17">
        <f t="shared" si="26"/>
        <v>3006541.2595181963</v>
      </c>
      <c r="M61" s="17">
        <f t="shared" si="26"/>
        <v>3022911.5970125408</v>
      </c>
      <c r="N61" s="17">
        <f t="shared" si="26"/>
        <v>3160064.7605325524</v>
      </c>
      <c r="O61" s="17">
        <f t="shared" si="26"/>
        <v>3067225.4326281426</v>
      </c>
      <c r="P61" s="16"/>
    </row>
    <row r="63" spans="1:16" x14ac:dyDescent="0.2">
      <c r="A63" s="15" t="s">
        <v>302</v>
      </c>
    </row>
    <row r="64" spans="1:16" x14ac:dyDescent="0.2">
      <c r="A64" s="8" t="s">
        <v>303</v>
      </c>
      <c r="B64" t="s">
        <v>246</v>
      </c>
      <c r="D64" s="18">
        <f t="shared" ref="D64:O64" si="27">D32</f>
        <v>47918.077403170762</v>
      </c>
      <c r="E64" s="18">
        <f t="shared" si="27"/>
        <v>55578.759568499634</v>
      </c>
      <c r="F64" s="18">
        <f t="shared" si="27"/>
        <v>23027.632703611031</v>
      </c>
      <c r="G64" s="18">
        <f t="shared" si="27"/>
        <v>75029.389496681208</v>
      </c>
      <c r="H64" s="18">
        <f t="shared" si="27"/>
        <v>41294.881490913758</v>
      </c>
      <c r="I64" s="18">
        <f t="shared" si="27"/>
        <v>64646.493757749457</v>
      </c>
      <c r="J64" s="18">
        <f t="shared" si="27"/>
        <v>42598.928721863296</v>
      </c>
      <c r="K64" s="18">
        <f t="shared" si="27"/>
        <v>64637.598757402462</v>
      </c>
      <c r="L64" s="18">
        <f t="shared" si="27"/>
        <v>56778.155840563129</v>
      </c>
      <c r="M64" s="18">
        <f t="shared" si="27"/>
        <v>58404.133053096586</v>
      </c>
      <c r="N64" s="18">
        <f t="shared" si="27"/>
        <v>40632.647975478481</v>
      </c>
      <c r="O64" s="18">
        <f t="shared" si="27"/>
        <v>40739.665430418892</v>
      </c>
      <c r="P64" s="18">
        <f t="shared" ref="P64:P78" si="28">SUM(D64:O64)</f>
        <v>611286.36419944861</v>
      </c>
    </row>
    <row r="65" spans="1:16" x14ac:dyDescent="0.2">
      <c r="A65" s="8" t="s">
        <v>304</v>
      </c>
      <c r="B65" t="s">
        <v>236</v>
      </c>
      <c r="D65" s="18">
        <f t="shared" ref="D65:O65" si="29">-D27</f>
        <v>6013.09</v>
      </c>
      <c r="E65" s="18">
        <f t="shared" si="29"/>
        <v>6013.09</v>
      </c>
      <c r="F65" s="18">
        <f t="shared" si="29"/>
        <v>6013.09</v>
      </c>
      <c r="G65" s="18">
        <f t="shared" si="29"/>
        <v>6013.09</v>
      </c>
      <c r="H65" s="18">
        <f t="shared" si="29"/>
        <v>6013.09</v>
      </c>
      <c r="I65" s="18">
        <f t="shared" si="29"/>
        <v>6013.09</v>
      </c>
      <c r="J65" s="18">
        <f t="shared" si="29"/>
        <v>6489.2804761904763</v>
      </c>
      <c r="K65" s="18">
        <f t="shared" si="29"/>
        <v>6489.2804761904763</v>
      </c>
      <c r="L65" s="18">
        <f t="shared" si="29"/>
        <v>6489.2804761904763</v>
      </c>
      <c r="M65" s="18">
        <f t="shared" si="29"/>
        <v>6489.2804761904763</v>
      </c>
      <c r="N65" s="18">
        <f t="shared" si="29"/>
        <v>6489.2804761904763</v>
      </c>
      <c r="O65" s="18">
        <f t="shared" si="29"/>
        <v>6489.2804761904763</v>
      </c>
      <c r="P65" s="18">
        <f t="shared" si="28"/>
        <v>75014.222857142857</v>
      </c>
    </row>
    <row r="66" spans="1:16" x14ac:dyDescent="0.2">
      <c r="A66" s="8" t="s">
        <v>305</v>
      </c>
      <c r="B66" t="s">
        <v>306</v>
      </c>
      <c r="D66" s="18">
        <f t="shared" ref="D66:O66" si="30">C36-D36</f>
        <v>-14201.524077846261</v>
      </c>
      <c r="E66" s="18">
        <f t="shared" si="30"/>
        <v>-1870.995152817035</v>
      </c>
      <c r="F66" s="18">
        <f t="shared" si="30"/>
        <v>8726.8634468648233</v>
      </c>
      <c r="G66" s="18">
        <f t="shared" si="30"/>
        <v>-14179.979300871972</v>
      </c>
      <c r="H66" s="18">
        <f t="shared" si="30"/>
        <v>10807.675067713193</v>
      </c>
      <c r="I66" s="18">
        <f t="shared" si="30"/>
        <v>-5354.4626975238934</v>
      </c>
      <c r="J66" s="18">
        <f t="shared" si="30"/>
        <v>4211.6390085979074</v>
      </c>
      <c r="K66" s="18">
        <f t="shared" si="30"/>
        <v>-6304.9741192939546</v>
      </c>
      <c r="L66" s="18">
        <f t="shared" si="30"/>
        <v>2178.7829476905463</v>
      </c>
      <c r="M66" s="18">
        <f t="shared" si="30"/>
        <v>1092.9822144194623</v>
      </c>
      <c r="N66" s="18">
        <f t="shared" si="30"/>
        <v>4541.6002203558455</v>
      </c>
      <c r="O66" s="18">
        <f t="shared" si="30"/>
        <v>-1671.3451197111281</v>
      </c>
      <c r="P66" s="18">
        <f t="shared" si="28"/>
        <v>-12023.737562422466</v>
      </c>
    </row>
    <row r="67" spans="1:16" x14ac:dyDescent="0.2">
      <c r="A67" s="8" t="s">
        <v>307</v>
      </c>
      <c r="B67" t="s">
        <v>308</v>
      </c>
      <c r="D67" s="18">
        <f t="shared" ref="D67:O67" si="31">C37+C38-D37-D38</f>
        <v>-49144.469339237141</v>
      </c>
      <c r="E67" s="18">
        <f t="shared" si="31"/>
        <v>25948.121610786533</v>
      </c>
      <c r="F67" s="18">
        <f t="shared" si="31"/>
        <v>-92324.57877632248</v>
      </c>
      <c r="G67" s="18">
        <f t="shared" si="31"/>
        <v>-28696.043084220437</v>
      </c>
      <c r="H67" s="18">
        <f t="shared" si="31"/>
        <v>-11355.627104798157</v>
      </c>
      <c r="I67" s="18">
        <f t="shared" si="31"/>
        <v>-31510.279055649298</v>
      </c>
      <c r="J67" s="18">
        <f t="shared" si="31"/>
        <v>2733.7165851133759</v>
      </c>
      <c r="K67" s="18">
        <f t="shared" si="31"/>
        <v>29460.671023515344</v>
      </c>
      <c r="L67" s="18">
        <f t="shared" si="31"/>
        <v>24943.557223097188</v>
      </c>
      <c r="M67" s="18">
        <f t="shared" si="31"/>
        <v>16733.86498470715</v>
      </c>
      <c r="N67" s="18">
        <f t="shared" si="31"/>
        <v>-105249.47803947434</v>
      </c>
      <c r="O67" s="18">
        <f t="shared" si="31"/>
        <v>68137.515209913196</v>
      </c>
      <c r="P67" s="18">
        <f t="shared" si="28"/>
        <v>-150323.02876256907</v>
      </c>
    </row>
    <row r="68" spans="1:16" x14ac:dyDescent="0.2">
      <c r="A68" s="8" t="s">
        <v>309</v>
      </c>
      <c r="B68" t="s">
        <v>310</v>
      </c>
      <c r="D68" s="18">
        <f t="shared" ref="D68:O68" si="32">D46-C46</f>
        <v>196763.79885864275</v>
      </c>
      <c r="E68" s="18">
        <f t="shared" si="32"/>
        <v>-69149.42142306664</v>
      </c>
      <c r="F68" s="18">
        <f t="shared" si="32"/>
        <v>77984.923033738974</v>
      </c>
      <c r="G68" s="18">
        <f t="shared" si="32"/>
        <v>16678.382702663541</v>
      </c>
      <c r="H68" s="18">
        <f t="shared" si="32"/>
        <v>-81678.831237112521</v>
      </c>
      <c r="I68" s="18">
        <f t="shared" si="32"/>
        <v>24030.80999915814</v>
      </c>
      <c r="J68" s="18">
        <f t="shared" si="32"/>
        <v>-27838.453531159437</v>
      </c>
      <c r="K68" s="18">
        <f t="shared" si="32"/>
        <v>-1726.3533076592721</v>
      </c>
      <c r="L68" s="18">
        <f t="shared" si="32"/>
        <v>-17698.388315850287</v>
      </c>
      <c r="M68" s="18">
        <f t="shared" si="32"/>
        <v>-6895.4565458094003</v>
      </c>
      <c r="N68" s="18">
        <f t="shared" si="32"/>
        <v>113640.83368577075</v>
      </c>
      <c r="O68" s="18">
        <f t="shared" si="32"/>
        <v>-166918.69594240352</v>
      </c>
      <c r="P68" s="18">
        <f t="shared" si="28"/>
        <v>57193.147976913082</v>
      </c>
    </row>
    <row r="69" spans="1:16" x14ac:dyDescent="0.2">
      <c r="A69" s="8" t="s">
        <v>311</v>
      </c>
      <c r="B69" t="s">
        <v>312</v>
      </c>
      <c r="D69" s="18">
        <f t="shared" ref="D69:O69" si="33">D48-C48</f>
        <v>-2568.0682963001309</v>
      </c>
      <c r="E69" s="18">
        <f t="shared" si="33"/>
        <v>79570.953634592588</v>
      </c>
      <c r="F69" s="18">
        <f t="shared" si="33"/>
        <v>-8306.3433557979297</v>
      </c>
      <c r="G69" s="18">
        <f t="shared" si="33"/>
        <v>34606.93820181617</v>
      </c>
      <c r="H69" s="18">
        <f t="shared" si="33"/>
        <v>-78872.81410724076</v>
      </c>
      <c r="I69" s="18">
        <f t="shared" si="33"/>
        <v>29020.048300873605</v>
      </c>
      <c r="J69" s="18">
        <f t="shared" si="33"/>
        <v>35231.141787339817</v>
      </c>
      <c r="K69" s="18">
        <f t="shared" si="33"/>
        <v>7625.4743643061956</v>
      </c>
      <c r="L69" s="18">
        <f t="shared" si="33"/>
        <v>-38615.796241101227</v>
      </c>
      <c r="M69" s="18">
        <f t="shared" si="33"/>
        <v>-7837.5855693258345</v>
      </c>
      <c r="N69" s="18">
        <f t="shared" si="33"/>
        <v>-16040.551912424038</v>
      </c>
      <c r="O69" s="18">
        <f t="shared" si="33"/>
        <v>17394.609932881664</v>
      </c>
      <c r="P69" s="18">
        <f t="shared" si="28"/>
        <v>51208.006739620119</v>
      </c>
    </row>
    <row r="70" spans="1:16" x14ac:dyDescent="0.2">
      <c r="A70" s="8" t="s">
        <v>313</v>
      </c>
      <c r="B70" t="s">
        <v>314</v>
      </c>
      <c r="D70" s="18">
        <f t="shared" ref="D70:O70" si="34">C39-D39+D47-C47+D49-C49+D100-C100+D51-C51</f>
        <v>-7629.4998917935009</v>
      </c>
      <c r="E70" s="18">
        <f t="shared" si="34"/>
        <v>34082.478253385401</v>
      </c>
      <c r="F70" s="18">
        <f t="shared" si="34"/>
        <v>15515.276879761659</v>
      </c>
      <c r="G70" s="18">
        <f t="shared" si="34"/>
        <v>-63884.403142777475</v>
      </c>
      <c r="H70" s="18">
        <f t="shared" si="34"/>
        <v>12822.561426900764</v>
      </c>
      <c r="I70" s="18">
        <f t="shared" si="34"/>
        <v>-100782.42470672549</v>
      </c>
      <c r="J70" s="18">
        <f t="shared" si="34"/>
        <v>-10274.729155166317</v>
      </c>
      <c r="K70" s="18">
        <f t="shared" si="34"/>
        <v>28486.424801333767</v>
      </c>
      <c r="L70" s="18">
        <f t="shared" si="34"/>
        <v>26386.299444979006</v>
      </c>
      <c r="M70" s="18">
        <f t="shared" si="34"/>
        <v>-11034.790643616925</v>
      </c>
      <c r="N70" s="18">
        <f t="shared" si="34"/>
        <v>15186.196571186876</v>
      </c>
      <c r="O70" s="18">
        <f t="shared" si="34"/>
        <v>32211.05547469281</v>
      </c>
      <c r="P70" s="18">
        <f t="shared" si="28"/>
        <v>-28915.554687839431</v>
      </c>
    </row>
    <row r="71" spans="1:16" x14ac:dyDescent="0.2">
      <c r="A71" s="16" t="s">
        <v>315</v>
      </c>
      <c r="B71" s="16" t="s">
        <v>316</v>
      </c>
      <c r="C71" s="16"/>
      <c r="D71" s="17">
        <f t="shared" ref="D71:O71" si="35">D64+D65+D66+D67+D68+D69+D70</f>
        <v>177151.4046566365</v>
      </c>
      <c r="E71" s="17">
        <f t="shared" si="35"/>
        <v>130172.98649138048</v>
      </c>
      <c r="F71" s="17">
        <f t="shared" si="35"/>
        <v>30636.863931856074</v>
      </c>
      <c r="G71" s="17">
        <f t="shared" si="35"/>
        <v>25567.374873291032</v>
      </c>
      <c r="H71" s="17">
        <f t="shared" si="35"/>
        <v>-100969.06446362373</v>
      </c>
      <c r="I71" s="17">
        <f t="shared" si="35"/>
        <v>-13936.724402117485</v>
      </c>
      <c r="J71" s="17">
        <f t="shared" si="35"/>
        <v>53151.523892779122</v>
      </c>
      <c r="K71" s="17">
        <f t="shared" si="35"/>
        <v>128668.12199579501</v>
      </c>
      <c r="L71" s="17">
        <f t="shared" si="35"/>
        <v>60461.891375568834</v>
      </c>
      <c r="M71" s="17">
        <f t="shared" si="35"/>
        <v>56952.427969661512</v>
      </c>
      <c r="N71" s="17">
        <f t="shared" si="35"/>
        <v>59200.528977084046</v>
      </c>
      <c r="O71" s="17">
        <f t="shared" si="35"/>
        <v>-3617.9145380176051</v>
      </c>
      <c r="P71" s="17">
        <f t="shared" si="28"/>
        <v>603439.42076029372</v>
      </c>
    </row>
    <row r="72" spans="1:16" x14ac:dyDescent="0.2">
      <c r="A72" s="8" t="s">
        <v>317</v>
      </c>
      <c r="B72" t="s">
        <v>318</v>
      </c>
      <c r="D72" s="18">
        <f>-Drivers!D15</f>
        <v>0</v>
      </c>
      <c r="E72" s="18">
        <f>-Drivers!E15</f>
        <v>0</v>
      </c>
      <c r="F72" s="18">
        <f>-Drivers!F15</f>
        <v>0</v>
      </c>
      <c r="G72" s="18">
        <f>-Drivers!G15</f>
        <v>0</v>
      </c>
      <c r="H72" s="18">
        <f>-Drivers!H15</f>
        <v>0</v>
      </c>
      <c r="I72" s="18">
        <f>-Drivers!I15</f>
        <v>-40000</v>
      </c>
      <c r="J72" s="18">
        <f>-Drivers!J15</f>
        <v>0</v>
      </c>
      <c r="K72" s="18">
        <f>-Drivers!K15</f>
        <v>0</v>
      </c>
      <c r="L72" s="18">
        <f>-Drivers!L15</f>
        <v>0</v>
      </c>
      <c r="M72" s="18">
        <f>-Drivers!M15</f>
        <v>0</v>
      </c>
      <c r="N72" s="18">
        <f>-Drivers!N15</f>
        <v>0</v>
      </c>
      <c r="O72" s="18">
        <f>-Drivers!O15</f>
        <v>0</v>
      </c>
      <c r="P72" s="18">
        <f t="shared" si="28"/>
        <v>-40000</v>
      </c>
    </row>
    <row r="73" spans="1:16" x14ac:dyDescent="0.2">
      <c r="A73" s="8" t="s">
        <v>319</v>
      </c>
      <c r="B73" t="s">
        <v>320</v>
      </c>
      <c r="D73" s="18">
        <f>-MIN(Assumptions!$H$57,C104)</f>
        <v>-10416.67</v>
      </c>
      <c r="E73" s="18">
        <f>-MIN(Assumptions!$H$57,D104)</f>
        <v>-10416.67</v>
      </c>
      <c r="F73" s="18">
        <f>-MIN(Assumptions!$H$57,E104)</f>
        <v>-10416.67</v>
      </c>
      <c r="G73" s="18">
        <f>-MIN(Assumptions!$H$57,F104)</f>
        <v>-10416.67</v>
      </c>
      <c r="H73" s="18">
        <f>-MIN(Assumptions!$H$57,G104)</f>
        <v>-10416.67</v>
      </c>
      <c r="I73" s="18">
        <f>-MIN(Assumptions!$H$57,H104)</f>
        <v>-10416.67</v>
      </c>
      <c r="J73" s="18">
        <f>-MIN(Assumptions!$H$57,I104)</f>
        <v>-10416.67</v>
      </c>
      <c r="K73" s="18">
        <f>-MIN(Assumptions!$H$57,J104)</f>
        <v>-10416.67</v>
      </c>
      <c r="L73" s="18">
        <f>-MIN(Assumptions!$H$57,K104)</f>
        <v>-10416.67</v>
      </c>
      <c r="M73" s="18">
        <f>-MIN(Assumptions!$H$57,L104)</f>
        <v>-10416.67</v>
      </c>
      <c r="N73" s="18">
        <f>-MIN(Assumptions!$H$57,M104)</f>
        <v>-10416.67</v>
      </c>
      <c r="O73" s="18">
        <f>-MIN(Assumptions!$H$57,N104)</f>
        <v>-10416.67</v>
      </c>
      <c r="P73" s="18">
        <f t="shared" si="28"/>
        <v>-125000.04</v>
      </c>
    </row>
    <row r="74" spans="1:16" x14ac:dyDescent="0.2">
      <c r="A74" s="8" t="s">
        <v>321</v>
      </c>
      <c r="B74" t="s">
        <v>322</v>
      </c>
      <c r="D74" s="18">
        <f>IF(D103&lt;Assumptions!$H$53,MIN(Assumptions!$H$52-C52,CEILING(MAX(0,Assumptions!$H$54-D103),Assumptions!$H$56)),0)</f>
        <v>0</v>
      </c>
      <c r="E74" s="18">
        <f>IF(E103&lt;Assumptions!$H$53,MIN(Assumptions!$H$52-D52,CEILING(MAX(0,Assumptions!$H$54-E103),Assumptions!$H$56)),0)</f>
        <v>0</v>
      </c>
      <c r="F74" s="18">
        <f>IF(F103&lt;Assumptions!$H$53,MIN(Assumptions!$H$52-E52,CEILING(MAX(0,Assumptions!$H$54-F103),Assumptions!$H$56)),0)</f>
        <v>0</v>
      </c>
      <c r="G74" s="18">
        <f>IF(G103&lt;Assumptions!$H$53,MIN(Assumptions!$H$52-F52,CEILING(MAX(0,Assumptions!$H$54-G103),Assumptions!$H$56)),0)</f>
        <v>0</v>
      </c>
      <c r="H74" s="18">
        <f>IF(H103&lt;Assumptions!$H$53,MIN(Assumptions!$H$52-G52,CEILING(MAX(0,Assumptions!$H$54-H103),Assumptions!$H$56)),0)</f>
        <v>0</v>
      </c>
      <c r="I74" s="18">
        <f>IF(I103&lt;Assumptions!$H$53,MIN(Assumptions!$H$52-H52,CEILING(MAX(0,Assumptions!$H$54-I103),Assumptions!$H$56)),0)</f>
        <v>0</v>
      </c>
      <c r="J74" s="18">
        <f>IF(J103&lt;Assumptions!$H$53,MIN(Assumptions!$H$52-I52,CEILING(MAX(0,Assumptions!$H$54-J103),Assumptions!$H$56)),0)</f>
        <v>0</v>
      </c>
      <c r="K74" s="18">
        <f>IF(K103&lt;Assumptions!$H$53,MIN(Assumptions!$H$52-J52,CEILING(MAX(0,Assumptions!$H$54-K103),Assumptions!$H$56)),0)</f>
        <v>0</v>
      </c>
      <c r="L74" s="18">
        <f>IF(L103&lt;Assumptions!$H$53,MIN(Assumptions!$H$52-K52,CEILING(MAX(0,Assumptions!$H$54-L103),Assumptions!$H$56)),0)</f>
        <v>0</v>
      </c>
      <c r="M74" s="18">
        <f>IF(M103&lt;Assumptions!$H$53,MIN(Assumptions!$H$52-L52,CEILING(MAX(0,Assumptions!$H$54-M103),Assumptions!$H$56)),0)</f>
        <v>0</v>
      </c>
      <c r="N74" s="18">
        <f>IF(N103&lt;Assumptions!$H$53,MIN(Assumptions!$H$52-M52,CEILING(MAX(0,Assumptions!$H$54-N103),Assumptions!$H$56)),0)</f>
        <v>0</v>
      </c>
      <c r="O74" s="18">
        <f>IF(O103&lt;Assumptions!$H$53,MIN(Assumptions!$H$52-N52,CEILING(MAX(0,Assumptions!$H$54-O103),Assumptions!$H$56)),0)</f>
        <v>0</v>
      </c>
      <c r="P74" s="18">
        <f t="shared" si="28"/>
        <v>0</v>
      </c>
    </row>
    <row r="75" spans="1:16" x14ac:dyDescent="0.2">
      <c r="A75" s="8" t="s">
        <v>323</v>
      </c>
      <c r="B75" t="s">
        <v>324</v>
      </c>
      <c r="D75" s="18">
        <f>IF((D103&gt;Assumptions!$H$55)*(C52&gt;0),-MIN(C52,FLOOR(MAX(0,D103-Assumptions!$H$54),Assumptions!$H$56)),0)</f>
        <v>0</v>
      </c>
      <c r="E75" s="18">
        <f>IF((E103&gt;Assumptions!$H$55)*(D52&gt;0),-MIN(D52,FLOOR(MAX(0,E103-Assumptions!$H$54),Assumptions!$H$56)),0)</f>
        <v>0</v>
      </c>
      <c r="F75" s="18">
        <f>IF((F103&gt;Assumptions!$H$55)*(E52&gt;0),-MIN(E52,FLOOR(MAX(0,F103-Assumptions!$H$54),Assumptions!$H$56)),0)</f>
        <v>0</v>
      </c>
      <c r="G75" s="18">
        <f>IF((G103&gt;Assumptions!$H$55)*(F52&gt;0),-MIN(F52,FLOOR(MAX(0,G103-Assumptions!$H$54),Assumptions!$H$56)),0)</f>
        <v>0</v>
      </c>
      <c r="H75" s="18">
        <f>IF((H103&gt;Assumptions!$H$55)*(G52&gt;0),-MIN(G52,FLOOR(MAX(0,H103-Assumptions!$H$54),Assumptions!$H$56)),0)</f>
        <v>0</v>
      </c>
      <c r="I75" s="18">
        <f>IF((I103&gt;Assumptions!$H$55)*(H52&gt;0),-MIN(H52,FLOOR(MAX(0,I103-Assumptions!$H$54),Assumptions!$H$56)),0)</f>
        <v>0</v>
      </c>
      <c r="J75" s="18">
        <f>IF((J103&gt;Assumptions!$H$55)*(I52&gt;0),-MIN(I52,FLOOR(MAX(0,J103-Assumptions!$H$54),Assumptions!$H$56)),0)</f>
        <v>0</v>
      </c>
      <c r="K75" s="18">
        <f>IF((K103&gt;Assumptions!$H$55)*(J52&gt;0),-MIN(J52,FLOOR(MAX(0,K103-Assumptions!$H$54),Assumptions!$H$56)),0)</f>
        <v>0</v>
      </c>
      <c r="L75" s="18">
        <f>IF((L103&gt;Assumptions!$H$55)*(K52&gt;0),-MIN(K52,FLOOR(MAX(0,L103-Assumptions!$H$54),Assumptions!$H$56)),0)</f>
        <v>0</v>
      </c>
      <c r="M75" s="18">
        <f>IF((M103&gt;Assumptions!$H$55)*(L52&gt;0),-MIN(L52,FLOOR(MAX(0,M103-Assumptions!$H$54),Assumptions!$H$56)),0)</f>
        <v>0</v>
      </c>
      <c r="N75" s="18">
        <f>IF((N103&gt;Assumptions!$H$55)*(M52&gt;0),-MIN(M52,FLOOR(MAX(0,N103-Assumptions!$H$54),Assumptions!$H$56)),0)</f>
        <v>0</v>
      </c>
      <c r="O75" s="18">
        <f>IF((O103&gt;Assumptions!$H$55)*(N52&gt;0),-MIN(N52,FLOOR(MAX(0,O103-Assumptions!$H$54),Assumptions!$H$56)),0)</f>
        <v>0</v>
      </c>
      <c r="P75" s="18">
        <f t="shared" si="28"/>
        <v>0</v>
      </c>
    </row>
    <row r="76" spans="1:16" x14ac:dyDescent="0.2">
      <c r="A76" s="8" t="s">
        <v>325</v>
      </c>
      <c r="B76" t="s">
        <v>326</v>
      </c>
      <c r="D76" s="18">
        <f>IF(Drivers!D22*(D52&lt;0.005),-FLOOR(MIN(Assumptions!$H$58*MAX(0,D112),MAX(0,D103+D74+D75-Assumptions!$H$59)),1000),0)</f>
        <v>0</v>
      </c>
      <c r="E76" s="18">
        <f>IF(Drivers!E22*(E52&lt;0.005),-FLOOR(MIN(Assumptions!$H$58*MAX(0,E112),MAX(0,E103+E74+E75-Assumptions!$H$59)),1000),0)</f>
        <v>0</v>
      </c>
      <c r="F76" s="18">
        <f>IF(Drivers!F22*(F52&lt;0.005),-FLOOR(MIN(Assumptions!$H$58*MAX(0,F112),MAX(0,F103+F74+F75-Assumptions!$H$59)),1000),0)</f>
        <v>-348000</v>
      </c>
      <c r="G76" s="18">
        <f>IF(Drivers!G22*(G52&lt;0.005),-FLOOR(MIN(Assumptions!$H$58*MAX(0,G112),MAX(0,G103+G74+G75-Assumptions!$H$59)),1000),0)</f>
        <v>0</v>
      </c>
      <c r="H76" s="18">
        <f>IF(Drivers!H22*(H52&lt;0.005),-FLOOR(MIN(Assumptions!$H$58*MAX(0,H112),MAX(0,H103+H74+H75-Assumptions!$H$59)),1000),0)</f>
        <v>0</v>
      </c>
      <c r="I76" s="18">
        <f>IF(Drivers!I22*(I52&lt;0.005),-FLOOR(MIN(Assumptions!$H$58*MAX(0,I112),MAX(0,I103+I74+I75-Assumptions!$H$59)),1000),0)</f>
        <v>0</v>
      </c>
      <c r="J76" s="18">
        <f>IF(Drivers!J22*(J52&lt;0.005),-FLOOR(MIN(Assumptions!$H$58*MAX(0,J112),MAX(0,J103+J74+J75-Assumptions!$H$59)),1000),0)</f>
        <v>0</v>
      </c>
      <c r="K76" s="18">
        <f>IF(Drivers!K22*(K52&lt;0.005),-FLOOR(MIN(Assumptions!$H$58*MAX(0,K112),MAX(0,K103+K74+K75-Assumptions!$H$59)),1000),0)</f>
        <v>0</v>
      </c>
      <c r="L76" s="18">
        <f>IF(Drivers!L22*(L52&lt;0.005),-FLOOR(MIN(Assumptions!$H$58*MAX(0,L112),MAX(0,L103+L74+L75-Assumptions!$H$59)),1000),0)</f>
        <v>0</v>
      </c>
      <c r="M76" s="18">
        <f>IF(Drivers!M22*(M52&lt;0.005),-FLOOR(MIN(Assumptions!$H$58*MAX(0,M112),MAX(0,M103+M74+M75-Assumptions!$H$59)),1000),0)</f>
        <v>0</v>
      </c>
      <c r="N76" s="18">
        <f>IF(Drivers!N22*(N52&lt;0.005),-FLOOR(MIN(Assumptions!$H$58*MAX(0,N112),MAX(0,N103+N74+N75-Assumptions!$H$59)),1000),0)</f>
        <v>0</v>
      </c>
      <c r="O76" s="18">
        <f>IF(Drivers!O22*(O52&lt;0.005),-FLOOR(MIN(Assumptions!$H$58*MAX(0,O112),MAX(0,O103+O74+O75-Assumptions!$H$59)),1000),0)</f>
        <v>0</v>
      </c>
      <c r="P76" s="18">
        <f t="shared" si="28"/>
        <v>-348000</v>
      </c>
    </row>
    <row r="77" spans="1:16" x14ac:dyDescent="0.2">
      <c r="A77" s="16" t="s">
        <v>327</v>
      </c>
      <c r="B77" s="16" t="s">
        <v>328</v>
      </c>
      <c r="C77" s="16"/>
      <c r="D77" s="17">
        <f t="shared" ref="D77:O77" si="36">D73+D74+D75+D76</f>
        <v>-10416.67</v>
      </c>
      <c r="E77" s="17">
        <f t="shared" si="36"/>
        <v>-10416.67</v>
      </c>
      <c r="F77" s="17">
        <f t="shared" si="36"/>
        <v>-358416.67</v>
      </c>
      <c r="G77" s="17">
        <f t="shared" si="36"/>
        <v>-10416.67</v>
      </c>
      <c r="H77" s="17">
        <f t="shared" si="36"/>
        <v>-10416.67</v>
      </c>
      <c r="I77" s="17">
        <f t="shared" si="36"/>
        <v>-10416.67</v>
      </c>
      <c r="J77" s="17">
        <f t="shared" si="36"/>
        <v>-10416.67</v>
      </c>
      <c r="K77" s="17">
        <f t="shared" si="36"/>
        <v>-10416.67</v>
      </c>
      <c r="L77" s="17">
        <f t="shared" si="36"/>
        <v>-10416.67</v>
      </c>
      <c r="M77" s="17">
        <f t="shared" si="36"/>
        <v>-10416.67</v>
      </c>
      <c r="N77" s="17">
        <f t="shared" si="36"/>
        <v>-10416.67</v>
      </c>
      <c r="O77" s="17">
        <f t="shared" si="36"/>
        <v>-10416.67</v>
      </c>
      <c r="P77" s="17">
        <f t="shared" si="28"/>
        <v>-473000.03999999986</v>
      </c>
    </row>
    <row r="78" spans="1:16" x14ac:dyDescent="0.2">
      <c r="A78" s="16" t="s">
        <v>329</v>
      </c>
      <c r="B78" s="16" t="s">
        <v>330</v>
      </c>
      <c r="C78" s="16"/>
      <c r="D78" s="17">
        <f t="shared" ref="D78:O78" si="37">D71+D72+D77</f>
        <v>166734.73465663649</v>
      </c>
      <c r="E78" s="17">
        <f t="shared" si="37"/>
        <v>119756.31649138048</v>
      </c>
      <c r="F78" s="17">
        <f t="shared" si="37"/>
        <v>-327779.80606814392</v>
      </c>
      <c r="G78" s="17">
        <f t="shared" si="37"/>
        <v>15150.704873291032</v>
      </c>
      <c r="H78" s="17">
        <f t="shared" si="37"/>
        <v>-111385.73446362372</v>
      </c>
      <c r="I78" s="17">
        <f t="shared" si="37"/>
        <v>-64353.394402117483</v>
      </c>
      <c r="J78" s="17">
        <f t="shared" si="37"/>
        <v>42734.853892779123</v>
      </c>
      <c r="K78" s="17">
        <f t="shared" si="37"/>
        <v>118251.45199579501</v>
      </c>
      <c r="L78" s="17">
        <f t="shared" si="37"/>
        <v>50045.221375568835</v>
      </c>
      <c r="M78" s="17">
        <f t="shared" si="37"/>
        <v>46535.757969661514</v>
      </c>
      <c r="N78" s="17">
        <f t="shared" si="37"/>
        <v>48783.858977084048</v>
      </c>
      <c r="O78" s="17">
        <f t="shared" si="37"/>
        <v>-14034.584538017605</v>
      </c>
      <c r="P78" s="17">
        <f t="shared" si="28"/>
        <v>90439.380760293774</v>
      </c>
    </row>
    <row r="80" spans="1:16" x14ac:dyDescent="0.2">
      <c r="A80" s="15" t="s">
        <v>331</v>
      </c>
    </row>
    <row r="81" spans="1:16" x14ac:dyDescent="0.2">
      <c r="A81" s="16" t="s">
        <v>332</v>
      </c>
      <c r="B81" s="16" t="s">
        <v>333</v>
      </c>
      <c r="C81" s="17">
        <f>Hist_BS!$AI$33</f>
        <v>0</v>
      </c>
      <c r="D81" s="17">
        <f t="shared" ref="D81:O81" si="38">D45-D61</f>
        <v>0</v>
      </c>
      <c r="E81" s="17">
        <f t="shared" si="38"/>
        <v>0</v>
      </c>
      <c r="F81" s="17">
        <f t="shared" si="38"/>
        <v>0</v>
      </c>
      <c r="G81" s="17">
        <f t="shared" si="38"/>
        <v>0</v>
      </c>
      <c r="H81" s="17">
        <f t="shared" si="38"/>
        <v>0</v>
      </c>
      <c r="I81" s="17">
        <f t="shared" si="38"/>
        <v>0</v>
      </c>
      <c r="J81" s="17">
        <f t="shared" si="38"/>
        <v>0</v>
      </c>
      <c r="K81" s="17">
        <f t="shared" si="38"/>
        <v>0</v>
      </c>
      <c r="L81" s="17">
        <f t="shared" si="38"/>
        <v>0</v>
      </c>
      <c r="M81" s="17">
        <f t="shared" si="38"/>
        <v>0</v>
      </c>
      <c r="N81" s="17">
        <f t="shared" si="38"/>
        <v>0</v>
      </c>
      <c r="O81" s="17">
        <f t="shared" si="38"/>
        <v>0</v>
      </c>
      <c r="P81" s="16"/>
    </row>
    <row r="82" spans="1:16" x14ac:dyDescent="0.2">
      <c r="A82" s="16" t="s">
        <v>334</v>
      </c>
      <c r="B82" s="16" t="s">
        <v>335</v>
      </c>
      <c r="C82" s="16"/>
      <c r="D82" s="17">
        <f t="shared" ref="D82:O82" si="39">D35-C35-D78</f>
        <v>0</v>
      </c>
      <c r="E82" s="17">
        <f t="shared" si="39"/>
        <v>0</v>
      </c>
      <c r="F82" s="17">
        <f t="shared" si="39"/>
        <v>0</v>
      </c>
      <c r="G82" s="17">
        <f t="shared" si="39"/>
        <v>4.5474735088646412E-11</v>
      </c>
      <c r="H82" s="17">
        <f t="shared" si="39"/>
        <v>0</v>
      </c>
      <c r="I82" s="17">
        <f t="shared" si="39"/>
        <v>0</v>
      </c>
      <c r="J82" s="17">
        <f t="shared" si="39"/>
        <v>8.7311491370201111E-11</v>
      </c>
      <c r="K82" s="17">
        <f t="shared" si="39"/>
        <v>1.1641532182693481E-10</v>
      </c>
      <c r="L82" s="17">
        <f t="shared" si="39"/>
        <v>-6.5483618527650833E-11</v>
      </c>
      <c r="M82" s="17">
        <f t="shared" si="39"/>
        <v>1.0186340659856796E-10</v>
      </c>
      <c r="N82" s="17">
        <f t="shared" si="39"/>
        <v>0</v>
      </c>
      <c r="O82" s="17">
        <f t="shared" si="39"/>
        <v>-2.7284841053187847E-11</v>
      </c>
      <c r="P82" s="16"/>
    </row>
    <row r="84" spans="1:16" x14ac:dyDescent="0.2">
      <c r="A84" s="15" t="s">
        <v>336</v>
      </c>
    </row>
    <row r="85" spans="1:16" x14ac:dyDescent="0.2">
      <c r="A85" s="8" t="s">
        <v>337</v>
      </c>
      <c r="B85" t="s">
        <v>338</v>
      </c>
      <c r="D85" s="18">
        <f>Drivers!D6*(1+Assumptions!$H$8)*(1+Assumptions!$H$30*Assumptions!$H$12)*(1-Assumptions!$H$15/(1-Assumptions!$H$31))</f>
        <v>856141.99329519435</v>
      </c>
      <c r="E85" s="18">
        <f>Drivers!E6*(1+Assumptions!$H$8)*(1+Assumptions!$H$30*Assumptions!$H$12)*(1-Assumptions!$H$15/(1-Assumptions!$H$31))</f>
        <v>1033083.058200446</v>
      </c>
      <c r="F85" s="18">
        <f>Drivers!F6*(1+Assumptions!$H$8)*(1+Assumptions!$H$30*Assumptions!$H$12)*(1-Assumptions!$H$15/(1-Assumptions!$H$31))</f>
        <v>775990.39140016667</v>
      </c>
      <c r="G85" s="18">
        <f>Drivers!G6*(1+Assumptions!$H$8)*(1+Assumptions!$H$30*Assumptions!$H$12)*(1-Assumptions!$H$15/(1-Assumptions!$H$31))</f>
        <v>998614.24211300723</v>
      </c>
      <c r="H85" s="18">
        <f>Drivers!H6*(1+Assumptions!$H$8)*(1+Assumptions!$H$30*Assumptions!$H$12)*(1-Assumptions!$H$15/(1-Assumptions!$H$31))</f>
        <v>671138.32329691725</v>
      </c>
      <c r="I85" s="18">
        <f>Drivers!I6*(1+Assumptions!$H$8)*(1+Assumptions!$H$30*Assumptions!$H$12)*(1-Assumptions!$H$15/(1-Assumptions!$H$31))</f>
        <v>934325.68069039576</v>
      </c>
      <c r="J85" s="18">
        <f>Drivers!J6*(1+Assumptions!$H$8)*(1+Assumptions!$H$30*Assumptions!$H$12)*(1-Assumptions!$H$15/(1-Assumptions!$H$31))</f>
        <v>905237.75598773337</v>
      </c>
      <c r="K85" s="18">
        <f>Drivers!K6*(1+Assumptions!$H$8)*(1+Assumptions!$H$30*Assumptions!$H$12)*(1-Assumptions!$H$15/(1-Assumptions!$H$31))</f>
        <v>913017.94032737846</v>
      </c>
      <c r="L85" s="18">
        <f>Drivers!L6*(1+Assumptions!$H$8)*(1+Assumptions!$H$30*Assumptions!$H$12)*(1-Assumptions!$H$15/(1-Assumptions!$H$31))</f>
        <v>801355.71704612486</v>
      </c>
      <c r="M85" s="18">
        <f>Drivers!M6*(1+Assumptions!$H$8)*(1+Assumptions!$H$30*Assumptions!$H$12)*(1-Assumptions!$H$15/(1-Assumptions!$H$31))</f>
        <v>850786.44246662245</v>
      </c>
      <c r="N85" s="18">
        <f>Drivers!N6*(1+Assumptions!$H$8)*(1+Assumptions!$H$30*Assumptions!$H$12)*(1-Assumptions!$H$15/(1-Assumptions!$H$31))</f>
        <v>790309.62164554605</v>
      </c>
      <c r="O85" s="18">
        <f>Drivers!O6*(1+Assumptions!$H$8)*(1+Assumptions!$H$30*Assumptions!$H$12)*(1-Assumptions!$H$15/(1-Assumptions!$H$31))</f>
        <v>871987.17346573784</v>
      </c>
      <c r="P85" s="18">
        <f>SUM(D85:O85)</f>
        <v>10401988.339935269</v>
      </c>
    </row>
    <row r="86" spans="1:16" x14ac:dyDescent="0.2">
      <c r="A86" s="8" t="s">
        <v>339</v>
      </c>
      <c r="B86" t="s">
        <v>340</v>
      </c>
      <c r="D86" s="19">
        <f>Assumptions!$H$25+Assumptions!$H$11*Assumptions!$H$26</f>
        <v>0.25287684168505692</v>
      </c>
      <c r="E86" s="19">
        <f>Assumptions!$H$25+Assumptions!$H$11*Assumptions!$H$26</f>
        <v>0.25287684168505692</v>
      </c>
      <c r="F86" s="19">
        <f>Assumptions!$H$25+Assumptions!$H$11*Assumptions!$H$26</f>
        <v>0.25287684168505692</v>
      </c>
      <c r="G86" s="19">
        <f>Assumptions!$H$25+Assumptions!$H$11*Assumptions!$H$26</f>
        <v>0.25287684168505692</v>
      </c>
      <c r="H86" s="19">
        <f>Assumptions!$H$25+Assumptions!$H$11*Assumptions!$H$26</f>
        <v>0.25287684168505692</v>
      </c>
      <c r="I86" s="19">
        <f>Assumptions!$H$25+Assumptions!$H$11*Assumptions!$H$26</f>
        <v>0.25287684168505692</v>
      </c>
      <c r="J86" s="19">
        <f>Assumptions!$H$25+Assumptions!$H$11*Assumptions!$H$26</f>
        <v>0.25287684168505692</v>
      </c>
      <c r="K86" s="19">
        <f>Assumptions!$H$25+Assumptions!$H$11*Assumptions!$H$26</f>
        <v>0.25287684168505692</v>
      </c>
      <c r="L86" s="19">
        <f>Assumptions!$H$25+Assumptions!$H$11*Assumptions!$H$26</f>
        <v>0.25287684168505692</v>
      </c>
      <c r="M86" s="19">
        <f>Assumptions!$H$25+Assumptions!$H$11*Assumptions!$H$26</f>
        <v>0.25287684168505692</v>
      </c>
      <c r="N86" s="19">
        <f>Assumptions!$H$25+Assumptions!$H$11*Assumptions!$H$26</f>
        <v>0.25287684168505692</v>
      </c>
      <c r="O86" s="19">
        <f>Assumptions!$H$25+Assumptions!$H$11*Assumptions!$H$26</f>
        <v>0.25287684168505692</v>
      </c>
    </row>
    <row r="87" spans="1:16" x14ac:dyDescent="0.2">
      <c r="A87" s="8" t="s">
        <v>341</v>
      </c>
      <c r="B87" t="s">
        <v>342</v>
      </c>
      <c r="D87" s="19">
        <f>Assumptions!$H$26*(1-Assumptions!$H$11)+Assumptions!$H$11*Assumptions!$H$27</f>
        <v>0.35472418852599069</v>
      </c>
      <c r="E87" s="19">
        <f>Assumptions!$H$26*(1-Assumptions!$H$11)+Assumptions!$H$11*Assumptions!$H$27</f>
        <v>0.35472418852599069</v>
      </c>
      <c r="F87" s="19">
        <f>Assumptions!$H$26*(1-Assumptions!$H$11)+Assumptions!$H$11*Assumptions!$H$27</f>
        <v>0.35472418852599069</v>
      </c>
      <c r="G87" s="19">
        <f>Assumptions!$H$26*(1-Assumptions!$H$11)+Assumptions!$H$11*Assumptions!$H$27</f>
        <v>0.35472418852599069</v>
      </c>
      <c r="H87" s="19">
        <f>Assumptions!$H$26*(1-Assumptions!$H$11)+Assumptions!$H$11*Assumptions!$H$27</f>
        <v>0.35472418852599069</v>
      </c>
      <c r="I87" s="19">
        <f>Assumptions!$H$26*(1-Assumptions!$H$11)+Assumptions!$H$11*Assumptions!$H$27</f>
        <v>0.35472418852599069</v>
      </c>
      <c r="J87" s="19">
        <f>Assumptions!$H$26*(1-Assumptions!$H$11)+Assumptions!$H$11*Assumptions!$H$27</f>
        <v>0.35472418852599069</v>
      </c>
      <c r="K87" s="19">
        <f>Assumptions!$H$26*(1-Assumptions!$H$11)+Assumptions!$H$11*Assumptions!$H$27</f>
        <v>0.35472418852599069</v>
      </c>
      <c r="L87" s="19">
        <f>Assumptions!$H$26*(1-Assumptions!$H$11)+Assumptions!$H$11*Assumptions!$H$27</f>
        <v>0.35472418852599069</v>
      </c>
      <c r="M87" s="19">
        <f>Assumptions!$H$26*(1-Assumptions!$H$11)+Assumptions!$H$11*Assumptions!$H$27</f>
        <v>0.35472418852599069</v>
      </c>
      <c r="N87" s="19">
        <f>Assumptions!$H$26*(1-Assumptions!$H$11)+Assumptions!$H$11*Assumptions!$H$27</f>
        <v>0.35472418852599069</v>
      </c>
      <c r="O87" s="19">
        <f>Assumptions!$H$26*(1-Assumptions!$H$11)+Assumptions!$H$11*Assumptions!$H$27</f>
        <v>0.35472418852599069</v>
      </c>
    </row>
    <row r="88" spans="1:16" x14ac:dyDescent="0.2">
      <c r="A88" s="8" t="s">
        <v>343</v>
      </c>
      <c r="B88" t="s">
        <v>344</v>
      </c>
      <c r="D88" s="19">
        <f>Assumptions!$H$27*(1-Assumptions!$H$11)+Assumptions!$H$11*Assumptions!$H$28</f>
        <v>8.8573251876798681E-2</v>
      </c>
      <c r="E88" s="19">
        <f>Assumptions!$H$27*(1-Assumptions!$H$11)+Assumptions!$H$11*Assumptions!$H$28</f>
        <v>8.8573251876798681E-2</v>
      </c>
      <c r="F88" s="19">
        <f>Assumptions!$H$27*(1-Assumptions!$H$11)+Assumptions!$H$11*Assumptions!$H$28</f>
        <v>8.8573251876798681E-2</v>
      </c>
      <c r="G88" s="19">
        <f>Assumptions!$H$27*(1-Assumptions!$H$11)+Assumptions!$H$11*Assumptions!$H$28</f>
        <v>8.8573251876798681E-2</v>
      </c>
      <c r="H88" s="19">
        <f>Assumptions!$H$27*(1-Assumptions!$H$11)+Assumptions!$H$11*Assumptions!$H$28</f>
        <v>8.8573251876798681E-2</v>
      </c>
      <c r="I88" s="19">
        <f>Assumptions!$H$27*(1-Assumptions!$H$11)+Assumptions!$H$11*Assumptions!$H$28</f>
        <v>8.8573251876798681E-2</v>
      </c>
      <c r="J88" s="19">
        <f>Assumptions!$H$27*(1-Assumptions!$H$11)+Assumptions!$H$11*Assumptions!$H$28</f>
        <v>8.8573251876798681E-2</v>
      </c>
      <c r="K88" s="19">
        <f>Assumptions!$H$27*(1-Assumptions!$H$11)+Assumptions!$H$11*Assumptions!$H$28</f>
        <v>8.8573251876798681E-2</v>
      </c>
      <c r="L88" s="19">
        <f>Assumptions!$H$27*(1-Assumptions!$H$11)+Assumptions!$H$11*Assumptions!$H$28</f>
        <v>8.8573251876798681E-2</v>
      </c>
      <c r="M88" s="19">
        <f>Assumptions!$H$27*(1-Assumptions!$H$11)+Assumptions!$H$11*Assumptions!$H$28</f>
        <v>8.8573251876798681E-2</v>
      </c>
      <c r="N88" s="19">
        <f>Assumptions!$H$27*(1-Assumptions!$H$11)+Assumptions!$H$11*Assumptions!$H$28</f>
        <v>8.8573251876798681E-2</v>
      </c>
      <c r="O88" s="19">
        <f>Assumptions!$H$27*(1-Assumptions!$H$11)+Assumptions!$H$11*Assumptions!$H$28</f>
        <v>8.8573251876798681E-2</v>
      </c>
    </row>
    <row r="89" spans="1:16" x14ac:dyDescent="0.2">
      <c r="A89" s="8" t="s">
        <v>345</v>
      </c>
      <c r="B89" t="s">
        <v>346</v>
      </c>
      <c r="D89" s="19">
        <f>Assumptions!$H$28*(1-Assumptions!$H$11)</f>
        <v>1.09346695526415E-2</v>
      </c>
      <c r="E89" s="19">
        <f>Assumptions!$H$28*(1-Assumptions!$H$11)</f>
        <v>1.09346695526415E-2</v>
      </c>
      <c r="F89" s="19">
        <f>Assumptions!$H$28*(1-Assumptions!$H$11)</f>
        <v>1.09346695526415E-2</v>
      </c>
      <c r="G89" s="19">
        <f>Assumptions!$H$28*(1-Assumptions!$H$11)</f>
        <v>1.09346695526415E-2</v>
      </c>
      <c r="H89" s="19">
        <f>Assumptions!$H$28*(1-Assumptions!$H$11)</f>
        <v>1.09346695526415E-2</v>
      </c>
      <c r="I89" s="19">
        <f>Assumptions!$H$28*(1-Assumptions!$H$11)</f>
        <v>1.09346695526415E-2</v>
      </c>
      <c r="J89" s="19">
        <f>Assumptions!$H$28*(1-Assumptions!$H$11)</f>
        <v>1.09346695526415E-2</v>
      </c>
      <c r="K89" s="19">
        <f>Assumptions!$H$28*(1-Assumptions!$H$11)</f>
        <v>1.09346695526415E-2</v>
      </c>
      <c r="L89" s="19">
        <f>Assumptions!$H$28*(1-Assumptions!$H$11)</f>
        <v>1.09346695526415E-2</v>
      </c>
      <c r="M89" s="19">
        <f>Assumptions!$H$28*(1-Assumptions!$H$11)</f>
        <v>1.09346695526415E-2</v>
      </c>
      <c r="N89" s="19">
        <f>Assumptions!$H$28*(1-Assumptions!$H$11)</f>
        <v>1.09346695526415E-2</v>
      </c>
      <c r="O89" s="19">
        <f>Assumptions!$H$28*(1-Assumptions!$H$11)</f>
        <v>1.09346695526415E-2</v>
      </c>
    </row>
    <row r="90" spans="1:16" x14ac:dyDescent="0.2">
      <c r="A90" s="8" t="s">
        <v>347</v>
      </c>
      <c r="B90" t="s">
        <v>348</v>
      </c>
      <c r="D90" s="19">
        <f>Assumptions!$H$29*(1-0.6*Assumptions!$H$11)</f>
        <v>3.257766727302526E-2</v>
      </c>
      <c r="E90" s="19">
        <f>Assumptions!$H$29*(1-0.6*Assumptions!$H$11)</f>
        <v>3.257766727302526E-2</v>
      </c>
      <c r="F90" s="19">
        <f>Assumptions!$H$29*(1-0.6*Assumptions!$H$11)</f>
        <v>3.257766727302526E-2</v>
      </c>
      <c r="G90" s="19">
        <f>Assumptions!$H$29*(1-0.6*Assumptions!$H$11)</f>
        <v>3.257766727302526E-2</v>
      </c>
      <c r="H90" s="19">
        <f>Assumptions!$H$29*(1-0.6*Assumptions!$H$11)</f>
        <v>3.257766727302526E-2</v>
      </c>
      <c r="I90" s="19">
        <f>Assumptions!$H$29*(1-0.6*Assumptions!$H$11)</f>
        <v>3.257766727302526E-2</v>
      </c>
      <c r="J90" s="19">
        <f>Assumptions!$H$29*(1-0.6*Assumptions!$H$11)</f>
        <v>3.257766727302526E-2</v>
      </c>
      <c r="K90" s="19">
        <f>Assumptions!$H$29*(1-0.6*Assumptions!$H$11)</f>
        <v>3.257766727302526E-2</v>
      </c>
      <c r="L90" s="19">
        <f>Assumptions!$H$29*(1-0.6*Assumptions!$H$11)</f>
        <v>3.257766727302526E-2</v>
      </c>
      <c r="M90" s="19">
        <f>Assumptions!$H$29*(1-0.6*Assumptions!$H$11)</f>
        <v>3.257766727302526E-2</v>
      </c>
      <c r="N90" s="19">
        <f>Assumptions!$H$29*(1-0.6*Assumptions!$H$11)</f>
        <v>3.257766727302526E-2</v>
      </c>
      <c r="O90" s="19">
        <f>Assumptions!$H$29*(1-0.6*Assumptions!$H$11)</f>
        <v>3.257766727302526E-2</v>
      </c>
    </row>
    <row r="91" spans="1:16" x14ac:dyDescent="0.2">
      <c r="A91" s="8" t="s">
        <v>349</v>
      </c>
      <c r="B91" t="s">
        <v>350</v>
      </c>
      <c r="C91" s="12">
        <v>967117.72</v>
      </c>
      <c r="D91" s="18">
        <f t="shared" ref="D91:O91" si="40">C91+D85-D11/(1-D90)</f>
        <v>963939.35733436234</v>
      </c>
      <c r="E91" s="18">
        <f t="shared" si="40"/>
        <v>1119389.4622775908</v>
      </c>
      <c r="F91" s="18">
        <f t="shared" si="40"/>
        <v>1103162.159632924</v>
      </c>
      <c r="G91" s="18">
        <f t="shared" si="40"/>
        <v>1170770.4001969458</v>
      </c>
      <c r="H91" s="18">
        <f t="shared" si="40"/>
        <v>1016684.1831780751</v>
      </c>
      <c r="I91" s="18">
        <f t="shared" si="40"/>
        <v>1073377.8552753665</v>
      </c>
      <c r="J91" s="18">
        <f t="shared" si="40"/>
        <v>1142205.5422383994</v>
      </c>
      <c r="K91" s="18">
        <f t="shared" si="40"/>
        <v>1157102.6967404911</v>
      </c>
      <c r="L91" s="18">
        <f t="shared" si="40"/>
        <v>1081662.7365043496</v>
      </c>
      <c r="M91" s="18">
        <f t="shared" si="40"/>
        <v>1066351.2007792885</v>
      </c>
      <c r="N91" s="18">
        <f t="shared" si="40"/>
        <v>1035014.3201182327</v>
      </c>
      <c r="O91" s="18">
        <f t="shared" si="40"/>
        <v>1068996.4934616657</v>
      </c>
    </row>
    <row r="93" spans="1:16" x14ac:dyDescent="0.2">
      <c r="A93" s="15" t="s">
        <v>351</v>
      </c>
    </row>
    <row r="94" spans="1:16" x14ac:dyDescent="0.2">
      <c r="A94" s="8" t="s">
        <v>352</v>
      </c>
      <c r="B94" t="s">
        <v>353</v>
      </c>
      <c r="D94" s="18">
        <f>Drivers!D8*(1+Assumptions!$H$14)+Assumptions!$H$38*D85</f>
        <v>138103.47282469316</v>
      </c>
      <c r="E94" s="18">
        <f>Drivers!E8*(1+Assumptions!$H$14)+Assumptions!$H$38*E85</f>
        <v>136185.5239430645</v>
      </c>
      <c r="F94" s="18">
        <f>Drivers!F8*(1+Assumptions!$H$14)+Assumptions!$H$38*F85</f>
        <v>134082.50889327092</v>
      </c>
      <c r="G94" s="18">
        <f>Drivers!G8*(1+Assumptions!$H$14)+Assumptions!$H$38*G85</f>
        <v>144441.27322528826</v>
      </c>
      <c r="H94" s="18">
        <f>Drivers!H8*(1+Assumptions!$H$14)+Assumptions!$H$38*H85</f>
        <v>130918.89688176743</v>
      </c>
      <c r="I94" s="18">
        <f>Drivers!I8*(1+Assumptions!$H$14)+Assumptions!$H$38*I85</f>
        <v>143500.61147869492</v>
      </c>
      <c r="J94" s="18">
        <f>Drivers!J8*(1+Assumptions!$H$14)+Assumptions!$H$38*J85</f>
        <v>138823.22412034374</v>
      </c>
      <c r="K94" s="18">
        <f>Drivers!K8*(1+Assumptions!$H$14)+Assumptions!$H$38*K85</f>
        <v>140497.90318698139</v>
      </c>
      <c r="L94" s="18">
        <f>Drivers!L8*(1+Assumptions!$H$14)+Assumptions!$H$38*L85</f>
        <v>141804.85179716634</v>
      </c>
      <c r="M94" s="18">
        <f>Drivers!M8*(1+Assumptions!$H$14)+Assumptions!$H$38*M85</f>
        <v>141406.09175626378</v>
      </c>
      <c r="N94" s="18">
        <f>Drivers!N8*(1+Assumptions!$H$14)+Assumptions!$H$38*N85</f>
        <v>140302.58147644982</v>
      </c>
      <c r="O94" s="18">
        <f>Drivers!O8*(1+Assumptions!$H$14)+Assumptions!$H$38*O85</f>
        <v>140528.9927302461</v>
      </c>
      <c r="P94" s="18">
        <f>SUM(D94:O94)</f>
        <v>1670595.9323142301</v>
      </c>
    </row>
    <row r="95" spans="1:16" x14ac:dyDescent="0.2">
      <c r="A95" s="8" t="s">
        <v>354</v>
      </c>
      <c r="B95" t="s">
        <v>355</v>
      </c>
      <c r="D95" s="18">
        <f>-Drivers!D17*Assumptions!$H$37*(E14+F14)/2-Assumptions!$H$10*Assumptions!$H$60</f>
        <v>555488.49641020689</v>
      </c>
      <c r="E95" s="18">
        <f>-Drivers!E17*Assumptions!$H$37*(F14+G14)/2-Assumptions!$H$10*Assumptions!$H$60</f>
        <v>484614.66413914831</v>
      </c>
      <c r="F95" s="18">
        <f>-Drivers!F17*Assumptions!$H$37*(G14+H14)/2-Assumptions!$H$10*Assumptions!$H$60</f>
        <v>581628.99917956069</v>
      </c>
      <c r="G95" s="18">
        <f>-Drivers!G17*Assumptions!$H$37*(H14+I14)/2-Assumptions!$H$10*Assumptions!$H$60</f>
        <v>590785.98659740784</v>
      </c>
      <c r="H95" s="18">
        <f>-Drivers!H17*Assumptions!$H$37*(I14+J14)/2-Assumptions!$H$10*Assumptions!$H$60</f>
        <v>646673.15522193571</v>
      </c>
      <c r="I95" s="18">
        <f>-Drivers!I17*Assumptions!$H$37*(J14+K14)/2-Assumptions!$H$10*Assumptions!$H$60</f>
        <v>661798.73315537337</v>
      </c>
      <c r="J95" s="18">
        <f>-Drivers!J17*Assumptions!$H$37*(K14+L14)/2-Assumptions!$H$10*Assumptions!$H$60</f>
        <v>639173.53594986221</v>
      </c>
      <c r="K95" s="18">
        <f>-Drivers!K17*Assumptions!$H$37*(L14+M14)/2-Assumptions!$H$10*Assumptions!$H$60</f>
        <v>605407.52686905337</v>
      </c>
      <c r="L95" s="18">
        <f>-Drivers!L17*Assumptions!$H$37*(M14+N14)/2-Assumptions!$H$10*Assumptions!$H$60</f>
        <v>602266.42405426374</v>
      </c>
      <c r="M95" s="18">
        <f>-Drivers!M17*Assumptions!$H$37*(N14+O14)/2-Assumptions!$H$10*Assumptions!$H$60</f>
        <v>589957.65498055471</v>
      </c>
      <c r="N95" s="18">
        <f>-Drivers!N17*Assumptions!$H$37*(O14+D14)/2-Assumptions!$H$10*Assumptions!$H$60</f>
        <v>704263.61859839666</v>
      </c>
      <c r="O95" s="18">
        <f>-Drivers!O17*Assumptions!$H$37*(D14+E14)/2-Assumptions!$H$10*Assumptions!$H$60</f>
        <v>626305.11749856186</v>
      </c>
    </row>
    <row r="96" spans="1:16" x14ac:dyDescent="0.2">
      <c r="A96" s="8" t="s">
        <v>356</v>
      </c>
      <c r="B96" t="s">
        <v>357</v>
      </c>
      <c r="D96" s="18">
        <f t="shared" ref="D96:O96" si="41">MAX(0,D95-C37+D38-C38-D14-D16)</f>
        <v>508569.37250154291</v>
      </c>
      <c r="E96" s="18">
        <f t="shared" si="41"/>
        <v>443267.38313704246</v>
      </c>
      <c r="F96" s="18">
        <f t="shared" si="41"/>
        <v>515873.88125159469</v>
      </c>
      <c r="G96" s="18">
        <f t="shared" si="41"/>
        <v>526446.78195379325</v>
      </c>
      <c r="H96" s="18">
        <f t="shared" si="41"/>
        <v>452551.62798135611</v>
      </c>
      <c r="I96" s="18">
        <f t="shared" si="41"/>
        <v>500725.27875060058</v>
      </c>
      <c r="J96" s="18">
        <f t="shared" si="41"/>
        <v>444442.48760940903</v>
      </c>
      <c r="K96" s="18">
        <f t="shared" si="41"/>
        <v>450708.39769879455</v>
      </c>
      <c r="L96" s="18">
        <f t="shared" si="41"/>
        <v>443824.30837474117</v>
      </c>
      <c r="M96" s="18">
        <f t="shared" si="41"/>
        <v>446314.60931201954</v>
      </c>
      <c r="N96" s="18">
        <f t="shared" si="41"/>
        <v>544532.52555180853</v>
      </c>
      <c r="O96" s="18">
        <f t="shared" si="41"/>
        <v>379891.39898965554</v>
      </c>
      <c r="P96" s="18">
        <f>SUM(D96:O96)</f>
        <v>5657148.0531123579</v>
      </c>
    </row>
    <row r="97" spans="1:16" x14ac:dyDescent="0.2">
      <c r="A97" s="8" t="s">
        <v>358</v>
      </c>
      <c r="B97" t="s">
        <v>359</v>
      </c>
      <c r="C97" s="12">
        <v>0</v>
      </c>
      <c r="D97" s="18">
        <f>C97+Drivers!D15</f>
        <v>0</v>
      </c>
      <c r="E97" s="18">
        <f>D97+Drivers!E15</f>
        <v>0</v>
      </c>
      <c r="F97" s="18">
        <f>E97+Drivers!F15</f>
        <v>0</v>
      </c>
      <c r="G97" s="18">
        <f>F97+Drivers!G15</f>
        <v>0</v>
      </c>
      <c r="H97" s="18">
        <f>G97+Drivers!H15</f>
        <v>0</v>
      </c>
      <c r="I97" s="18">
        <f>H97+Drivers!I15</f>
        <v>40000</v>
      </c>
      <c r="J97" s="18">
        <f>I97+Drivers!J15</f>
        <v>40000</v>
      </c>
      <c r="K97" s="18">
        <f>J97+Drivers!K15</f>
        <v>40000</v>
      </c>
      <c r="L97" s="18">
        <f>K97+Drivers!L15</f>
        <v>40000</v>
      </c>
      <c r="M97" s="18">
        <f>L97+Drivers!M15</f>
        <v>40000</v>
      </c>
      <c r="N97" s="18">
        <f>M97+Drivers!N15</f>
        <v>40000</v>
      </c>
      <c r="O97" s="18">
        <f>N97+Drivers!O15</f>
        <v>40000</v>
      </c>
    </row>
    <row r="99" spans="1:16" x14ac:dyDescent="0.2">
      <c r="A99" s="15" t="s">
        <v>360</v>
      </c>
    </row>
    <row r="100" spans="1:16" x14ac:dyDescent="0.2">
      <c r="A100" s="8" t="s">
        <v>361</v>
      </c>
      <c r="B100" t="s">
        <v>362</v>
      </c>
      <c r="C100" s="18">
        <f>-(Hist_Balances!$AJ$13+Hist_Balances!$AJ$21)</f>
        <v>36831.759999999995</v>
      </c>
      <c r="D100" s="18">
        <f>C100+Assumptions!$H$48*(D11-D96*(1+Assumptions!$H$35)-Drivers!D12-Drivers!D15)-D101</f>
        <v>8447.518281336721</v>
      </c>
      <c r="E100" s="18">
        <f>D100+Assumptions!$H$48*(E11-E96*(1+Assumptions!$H$35)-Drivers!E12-Drivers!E15)-E101</f>
        <v>21108.984148942225</v>
      </c>
      <c r="F100" s="18">
        <f>E100+Assumptions!$H$48*(F11-F96*(1+Assumptions!$H$35)-Drivers!F12-Drivers!F15)-F101</f>
        <v>25892.387616038752</v>
      </c>
      <c r="G100" s="18">
        <f>F100+Assumptions!$H$48*(G11-G96*(1+Assumptions!$H$35)-Drivers!G12-Drivers!G15)-G101</f>
        <v>10728.724885525779</v>
      </c>
      <c r="H100" s="18">
        <f>G100+Assumptions!$H$48*(H11-H96*(1+Assumptions!$H$35)-Drivers!H12-Drivers!H15)-H101</f>
        <v>20250.156337332293</v>
      </c>
      <c r="I100" s="18">
        <f>H100+Assumptions!$H$48*(I11-I96*(1+Assumptions!$H$35)-Drivers!I12-Drivers!I15)-I101</f>
        <v>28979.215113222112</v>
      </c>
      <c r="J100" s="18">
        <f>I100+Assumptions!$H$48*(J11-J96*(1+Assumptions!$H$35)-Drivers!J12-Drivers!J15)-J101</f>
        <v>10276.000423338672</v>
      </c>
      <c r="K100" s="18">
        <f>J100+Assumptions!$H$48*(K11-K96*(1+Assumptions!$H$35)-Drivers!K12-Drivers!K15)-K101</f>
        <v>23567.180652670846</v>
      </c>
      <c r="L100" s="18">
        <f>K100+Assumptions!$H$48*(L11-L96*(1+Assumptions!$H$35)-Drivers!L12-Drivers!L15)-L101</f>
        <v>36612.777078460844</v>
      </c>
      <c r="M100" s="18">
        <f>L100+Assumptions!$H$48*(M11-M96*(1+Assumptions!$H$35)-Drivers!M12-Drivers!M15)-M101</f>
        <v>12799.675754329597</v>
      </c>
      <c r="N100" s="18">
        <f>M100+Assumptions!$H$48*(N11-N96*(1+Assumptions!$H$35)-Drivers!N12-Drivers!N15)-N101</f>
        <v>18040.669188549989</v>
      </c>
      <c r="O100" s="18">
        <f>N100+Assumptions!$H$48*(O11-O96*(1+Assumptions!$H$35)-Drivers!O12-Drivers!O15)-O101</f>
        <v>32153.685859115474</v>
      </c>
    </row>
    <row r="101" spans="1:16" x14ac:dyDescent="0.2">
      <c r="A101" s="8" t="s">
        <v>363</v>
      </c>
      <c r="B101" t="s">
        <v>364</v>
      </c>
      <c r="D101" s="18">
        <f>IF(Drivers!D23,C100,0)</f>
        <v>36831.759999999995</v>
      </c>
      <c r="E101" s="18">
        <f>IF(Drivers!E23,D100,0)</f>
        <v>0</v>
      </c>
      <c r="F101" s="18">
        <f>IF(Drivers!F23,E100,0)</f>
        <v>0</v>
      </c>
      <c r="G101" s="18">
        <f>IF(Drivers!G23,F100,0)</f>
        <v>25892.387616038752</v>
      </c>
      <c r="H101" s="18">
        <f>IF(Drivers!H23,G100,0)</f>
        <v>0</v>
      </c>
      <c r="I101" s="18">
        <f>IF(Drivers!I23,H100,0)</f>
        <v>0</v>
      </c>
      <c r="J101" s="18">
        <f>IF(Drivers!J23,I100,0)</f>
        <v>28979.215113222112</v>
      </c>
      <c r="K101" s="18">
        <f>IF(Drivers!K23,J100,0)</f>
        <v>0</v>
      </c>
      <c r="L101" s="18">
        <f>IF(Drivers!L23,K100,0)</f>
        <v>0</v>
      </c>
      <c r="M101" s="18">
        <f>IF(Drivers!M23,L100,0)</f>
        <v>36612.777078460844</v>
      </c>
      <c r="N101" s="18">
        <f>IF(Drivers!N23,M100,0)</f>
        <v>0</v>
      </c>
      <c r="O101" s="18">
        <f>IF(Drivers!O23,N100,0)</f>
        <v>0</v>
      </c>
      <c r="P101" s="18">
        <f>SUM(D101:O101)</f>
        <v>128316.1398077217</v>
      </c>
    </row>
    <row r="102" spans="1:16" x14ac:dyDescent="0.2">
      <c r="A102" s="8" t="s">
        <v>365</v>
      </c>
      <c r="B102" t="s">
        <v>366</v>
      </c>
      <c r="D102" s="18">
        <f t="shared" ref="D102:O102" si="42">D41-D54</f>
        <v>1301500.8874031708</v>
      </c>
      <c r="E102" s="18">
        <f t="shared" si="42"/>
        <v>1352676.0669716701</v>
      </c>
      <c r="F102" s="18">
        <f t="shared" si="42"/>
        <v>1023300.2796752811</v>
      </c>
      <c r="G102" s="18">
        <f t="shared" si="42"/>
        <v>1104342.7591719625</v>
      </c>
      <c r="H102" s="18">
        <f t="shared" si="42"/>
        <v>1151650.7306628767</v>
      </c>
      <c r="I102" s="18">
        <f t="shared" si="42"/>
        <v>1182310.314420626</v>
      </c>
      <c r="J102" s="18">
        <f t="shared" si="42"/>
        <v>1231398.5236186795</v>
      </c>
      <c r="K102" s="18">
        <f t="shared" si="42"/>
        <v>1302525.4028522731</v>
      </c>
      <c r="L102" s="18">
        <f t="shared" si="42"/>
        <v>1365792.8391690261</v>
      </c>
      <c r="M102" s="18">
        <f t="shared" si="42"/>
        <v>1430686.2526983132</v>
      </c>
      <c r="N102" s="18">
        <f t="shared" si="42"/>
        <v>1477808.1811499826</v>
      </c>
      <c r="O102" s="18">
        <f t="shared" si="42"/>
        <v>1525037.1270565912</v>
      </c>
    </row>
    <row r="103" spans="1:16" x14ac:dyDescent="0.2">
      <c r="A103" s="8" t="s">
        <v>367</v>
      </c>
      <c r="B103" t="s">
        <v>368</v>
      </c>
      <c r="D103" s="18">
        <f t="shared" ref="D103:O103" si="43">C35+D71+D72+D73</f>
        <v>1888904.4846566366</v>
      </c>
      <c r="E103" s="18">
        <f t="shared" si="43"/>
        <v>2008660.8011480172</v>
      </c>
      <c r="F103" s="18">
        <f t="shared" si="43"/>
        <v>2028880.9950798734</v>
      </c>
      <c r="G103" s="18">
        <f t="shared" si="43"/>
        <v>1696031.6999531642</v>
      </c>
      <c r="H103" s="18">
        <f t="shared" si="43"/>
        <v>1584645.9654895405</v>
      </c>
      <c r="I103" s="18">
        <f t="shared" si="43"/>
        <v>1520292.571087423</v>
      </c>
      <c r="J103" s="18">
        <f t="shared" si="43"/>
        <v>1563027.4249802022</v>
      </c>
      <c r="K103" s="18">
        <f t="shared" si="43"/>
        <v>1681278.8769759974</v>
      </c>
      <c r="L103" s="18">
        <f t="shared" si="43"/>
        <v>1731324.0983515664</v>
      </c>
      <c r="M103" s="18">
        <f t="shared" si="43"/>
        <v>1777859.8563212277</v>
      </c>
      <c r="N103" s="18">
        <f t="shared" si="43"/>
        <v>1826643.7152983118</v>
      </c>
      <c r="O103" s="18">
        <f t="shared" si="43"/>
        <v>1812609.1307602942</v>
      </c>
    </row>
    <row r="104" spans="1:16" x14ac:dyDescent="0.2">
      <c r="A104" s="8" t="s">
        <v>369</v>
      </c>
      <c r="B104" t="s">
        <v>370</v>
      </c>
      <c r="C104" s="18">
        <f>-Hist_Balances!$AJ$27</f>
        <v>156249.89000000001</v>
      </c>
      <c r="D104" s="18">
        <f t="shared" ref="D104:O104" si="44">C104+D73</f>
        <v>145833.22</v>
      </c>
      <c r="E104" s="18">
        <f t="shared" si="44"/>
        <v>135416.54999999999</v>
      </c>
      <c r="F104" s="18">
        <f t="shared" si="44"/>
        <v>124999.87999999999</v>
      </c>
      <c r="G104" s="18">
        <f t="shared" si="44"/>
        <v>114583.20999999999</v>
      </c>
      <c r="H104" s="18">
        <f t="shared" si="44"/>
        <v>104166.54</v>
      </c>
      <c r="I104" s="18">
        <f t="shared" si="44"/>
        <v>93749.87</v>
      </c>
      <c r="J104" s="18">
        <f t="shared" si="44"/>
        <v>83333.2</v>
      </c>
      <c r="K104" s="18">
        <f t="shared" si="44"/>
        <v>72916.53</v>
      </c>
      <c r="L104" s="18">
        <f t="shared" si="44"/>
        <v>62499.86</v>
      </c>
      <c r="M104" s="18">
        <f t="shared" si="44"/>
        <v>52083.19</v>
      </c>
      <c r="N104" s="18">
        <f t="shared" si="44"/>
        <v>41666.520000000004</v>
      </c>
      <c r="O104" s="18">
        <f t="shared" si="44"/>
        <v>31249.850000000006</v>
      </c>
    </row>
    <row r="106" spans="1:16" x14ac:dyDescent="0.2">
      <c r="A106" s="15" t="s">
        <v>371</v>
      </c>
    </row>
    <row r="107" spans="1:16" x14ac:dyDescent="0.2">
      <c r="A107" s="8" t="s">
        <v>372</v>
      </c>
      <c r="B107" t="s">
        <v>373</v>
      </c>
      <c r="C107" s="18">
        <f>SUM(Hist_IS!$AA$37:$AI$37)</f>
        <v>662130.31999999948</v>
      </c>
      <c r="D107" s="18">
        <f>IF(Drivers!D20,0,C107)+D30</f>
        <v>724361.59403009131</v>
      </c>
      <c r="E107" s="18">
        <f>IF(Drivers!E20,0,D107)+E30</f>
        <v>796541.80126190896</v>
      </c>
      <c r="F107" s="18">
        <f>IF(Drivers!F20,0,E107)+F30</f>
        <v>826447.81776010513</v>
      </c>
      <c r="G107" s="18">
        <f>IF(Drivers!G20,0,F107)+G30</f>
        <v>84302.684827731689</v>
      </c>
      <c r="H107" s="18">
        <f>IF(Drivers!H20,0,G107)+H30</f>
        <v>130701.4280759494</v>
      </c>
      <c r="I107" s="18">
        <f>IF(Drivers!I20,0,H107)+I30</f>
        <v>203337.93791611731</v>
      </c>
      <c r="J107" s="18">
        <f>IF(Drivers!J20,0,I107)+J30</f>
        <v>251201.90277214348</v>
      </c>
      <c r="K107" s="18">
        <f>IF(Drivers!K20,0,J107)+K30</f>
        <v>323828.41822989902</v>
      </c>
      <c r="L107" s="18">
        <f>IF(Drivers!L20,0,K107)+L30</f>
        <v>387624.0989496329</v>
      </c>
      <c r="M107" s="18">
        <f>IF(Drivers!M20,0,L107)+M30</f>
        <v>453246.72035760659</v>
      </c>
      <c r="N107" s="18">
        <f>IF(Drivers!N20,0,M107)+N30</f>
        <v>498901.38100421161</v>
      </c>
      <c r="O107" s="18">
        <f>IF(Drivers!O20,0,N107)+O30</f>
        <v>551638.82405736006</v>
      </c>
    </row>
    <row r="108" spans="1:16" x14ac:dyDescent="0.2">
      <c r="A108" s="8" t="s">
        <v>374</v>
      </c>
      <c r="B108" t="s">
        <v>375</v>
      </c>
      <c r="C108" s="12">
        <v>0</v>
      </c>
      <c r="D108" s="18">
        <f>IF(Drivers!D20,MAX(0,C108-C107),C108)</f>
        <v>0</v>
      </c>
      <c r="E108" s="18">
        <f>IF(Drivers!E20,MAX(0,D108-D107),D108)</f>
        <v>0</v>
      </c>
      <c r="F108" s="18">
        <f>IF(Drivers!F20,MAX(0,E108-E107),E108)</f>
        <v>0</v>
      </c>
      <c r="G108" s="18">
        <f>IF(Drivers!G20,MAX(0,F108-F107),F108)</f>
        <v>0</v>
      </c>
      <c r="H108" s="18">
        <f>IF(Drivers!H20,MAX(0,G108-G107),G108)</f>
        <v>0</v>
      </c>
      <c r="I108" s="18">
        <f>IF(Drivers!I20,MAX(0,H108-H107),H108)</f>
        <v>0</v>
      </c>
      <c r="J108" s="18">
        <f>IF(Drivers!J20,MAX(0,I108-I107),I108)</f>
        <v>0</v>
      </c>
      <c r="K108" s="18">
        <f>IF(Drivers!K20,MAX(0,J108-J107),J108)</f>
        <v>0</v>
      </c>
      <c r="L108" s="18">
        <f>IF(Drivers!L20,MAX(0,K108-K107),K108)</f>
        <v>0</v>
      </c>
      <c r="M108" s="18">
        <f>IF(Drivers!M20,MAX(0,L108-L107),L108)</f>
        <v>0</v>
      </c>
      <c r="N108" s="18">
        <f>IF(Drivers!N20,MAX(0,M108-M107),M108)</f>
        <v>0</v>
      </c>
      <c r="O108" s="18">
        <f>IF(Drivers!O20,MAX(0,N108-N107),N108)</f>
        <v>0</v>
      </c>
    </row>
    <row r="109" spans="1:16" x14ac:dyDescent="0.2">
      <c r="A109" s="8" t="s">
        <v>376</v>
      </c>
      <c r="B109" t="s">
        <v>377</v>
      </c>
      <c r="C109" s="18">
        <f>-SUM(Hist_IS!$AA$38:$AI$38)</f>
        <v>92289.97</v>
      </c>
      <c r="D109" s="18">
        <f>Assumptions!$H$63*MIN(MAX(0,D107-D108),Assumptions!$H$65)+Assumptions!$H$64*MAX(0,D107-D108-Assumptions!$H$65)</f>
        <v>106603.16662692101</v>
      </c>
      <c r="E109" s="18">
        <f>Assumptions!$H$63*MIN(MAX(0,E107-E108),Assumptions!$H$65)+Assumptions!$H$64*MAX(0,E107-E108-Assumptions!$H$65)</f>
        <v>123204.61429023906</v>
      </c>
      <c r="F109" s="18">
        <f>Assumptions!$H$63*MIN(MAX(0,F107-F108),Assumptions!$H$65)+Assumptions!$H$64*MAX(0,F107-F108-Assumptions!$H$65)</f>
        <v>130082.99808482418</v>
      </c>
      <c r="G109" s="18">
        <f>Assumptions!$H$63*MIN(MAX(0,G107-G108),Assumptions!$H$65)+Assumptions!$H$64*MAX(0,G107-G108-Assumptions!$H$65)</f>
        <v>9273.2953310504854</v>
      </c>
      <c r="H109" s="18">
        <f>Assumptions!$H$63*MIN(MAX(0,H107-H108),Assumptions!$H$65)+Assumptions!$H$64*MAX(0,H107-H108-Assumptions!$H$65)</f>
        <v>14377.157088354434</v>
      </c>
      <c r="I109" s="18">
        <f>Assumptions!$H$63*MIN(MAX(0,I107-I108),Assumptions!$H$65)+Assumptions!$H$64*MAX(0,I107-I108-Assumptions!$H$65)</f>
        <v>22367.173170772905</v>
      </c>
      <c r="J109" s="18">
        <f>Assumptions!$H$63*MIN(MAX(0,J107-J108),Assumptions!$H$65)+Assumptions!$H$64*MAX(0,J107-J108-Assumptions!$H$65)</f>
        <v>27632.209304935783</v>
      </c>
      <c r="K109" s="18">
        <f>Assumptions!$H$63*MIN(MAX(0,K107-K108),Assumptions!$H$65)+Assumptions!$H$64*MAX(0,K107-K108-Assumptions!$H$65)</f>
        <v>35621.12600528889</v>
      </c>
      <c r="L109" s="18">
        <f>Assumptions!$H$63*MIN(MAX(0,L107-L108),Assumptions!$H$65)+Assumptions!$H$64*MAX(0,L107-L108-Assumptions!$H$65)</f>
        <v>42638.650884459617</v>
      </c>
      <c r="M109" s="18">
        <f>Assumptions!$H$63*MIN(MAX(0,M107-M108),Assumptions!$H$65)+Assumptions!$H$64*MAX(0,M107-M108-Assumptions!$H$65)</f>
        <v>49857.139239336728</v>
      </c>
      <c r="N109" s="18">
        <f>Assumptions!$H$63*MIN(MAX(0,N107-N108),Assumptions!$H$65)+Assumptions!$H$64*MAX(0,N107-N108-Assumptions!$H$65)</f>
        <v>54879.151910463275</v>
      </c>
      <c r="O109" s="18">
        <f>Assumptions!$H$63*MIN(MAX(0,O107-O108),Assumptions!$H$65)+Assumptions!$H$64*MAX(0,O107-O108-Assumptions!$H$65)</f>
        <v>66876.929533192815</v>
      </c>
    </row>
    <row r="110" spans="1:16" x14ac:dyDescent="0.2">
      <c r="A110" s="8" t="s">
        <v>378</v>
      </c>
      <c r="B110" t="s">
        <v>379</v>
      </c>
      <c r="C110" s="12">
        <v>0</v>
      </c>
      <c r="D110" s="18">
        <f>IF(Drivers!D20,C109,IF(Drivers!D21,0,C110))</f>
        <v>0</v>
      </c>
      <c r="E110" s="18">
        <f>IF(Drivers!E20,D109,IF(Drivers!E21,0,D110))</f>
        <v>0</v>
      </c>
      <c r="F110" s="18">
        <f>IF(Drivers!F20,E109,IF(Drivers!F21,0,E110))</f>
        <v>0</v>
      </c>
      <c r="G110" s="18">
        <f>IF(Drivers!G20,F109,IF(Drivers!G21,0,F110))</f>
        <v>130082.99808482418</v>
      </c>
      <c r="H110" s="18">
        <f>IF(Drivers!H20,G109,IF(Drivers!H21,0,G110))</f>
        <v>130082.99808482418</v>
      </c>
      <c r="I110" s="18">
        <f>IF(Drivers!I20,H109,IF(Drivers!I21,0,H110))</f>
        <v>0</v>
      </c>
      <c r="J110" s="18">
        <f>IF(Drivers!J20,I109,IF(Drivers!J21,0,I110))</f>
        <v>0</v>
      </c>
      <c r="K110" s="18">
        <f>IF(Drivers!K20,J109,IF(Drivers!K21,0,J110))</f>
        <v>0</v>
      </c>
      <c r="L110" s="18">
        <f>IF(Drivers!L20,K109,IF(Drivers!L21,0,K110))</f>
        <v>0</v>
      </c>
      <c r="M110" s="18">
        <f>IF(Drivers!M20,L109,IF(Drivers!M21,0,L110))</f>
        <v>0</v>
      </c>
      <c r="N110" s="18">
        <f>IF(Drivers!N20,M109,IF(Drivers!N21,0,M110))</f>
        <v>0</v>
      </c>
      <c r="O110" s="18">
        <f>IF(Drivers!O20,N109,IF(Drivers!O21,0,N110))</f>
        <v>0</v>
      </c>
    </row>
    <row r="111" spans="1:16" x14ac:dyDescent="0.2">
      <c r="A111" s="8" t="s">
        <v>380</v>
      </c>
      <c r="B111" t="s">
        <v>381</v>
      </c>
      <c r="D111" s="18">
        <f>IF(Drivers!D21,C110,0)</f>
        <v>0</v>
      </c>
      <c r="E111" s="18">
        <f>IF(Drivers!E21,D110,0)</f>
        <v>0</v>
      </c>
      <c r="F111" s="18">
        <f>IF(Drivers!F21,E110,0)</f>
        <v>0</v>
      </c>
      <c r="G111" s="18">
        <f>IF(Drivers!G21,F110,0)</f>
        <v>0</v>
      </c>
      <c r="H111" s="18">
        <f>IF(Drivers!H21,G110,0)</f>
        <v>0</v>
      </c>
      <c r="I111" s="18">
        <f>IF(Drivers!I21,H110,0)</f>
        <v>130082.99808482418</v>
      </c>
      <c r="J111" s="18">
        <f>IF(Drivers!J21,I110,0)</f>
        <v>0</v>
      </c>
      <c r="K111" s="18">
        <f>IF(Drivers!K21,J110,0)</f>
        <v>0</v>
      </c>
      <c r="L111" s="18">
        <f>IF(Drivers!L21,K110,0)</f>
        <v>0</v>
      </c>
      <c r="M111" s="18">
        <f>IF(Drivers!M21,L110,0)</f>
        <v>0</v>
      </c>
      <c r="N111" s="18">
        <f>IF(Drivers!N21,M110,0)</f>
        <v>0</v>
      </c>
      <c r="O111" s="18">
        <f>IF(Drivers!O21,N110,0)</f>
        <v>0</v>
      </c>
      <c r="P111" s="18">
        <f>SUM(D111:O111)</f>
        <v>130082.99808482418</v>
      </c>
    </row>
    <row r="112" spans="1:16" x14ac:dyDescent="0.2">
      <c r="A112" s="8" t="s">
        <v>382</v>
      </c>
      <c r="B112" t="s">
        <v>383</v>
      </c>
      <c r="C112" s="18">
        <f>SUM(Hist_IS!$AA$39:$AI$39)</f>
        <v>569840.34999999951</v>
      </c>
      <c r="D112" s="18">
        <f>IF(Drivers!D20,0,C112)+D32</f>
        <v>617758.42740317027</v>
      </c>
      <c r="E112" s="18">
        <f>IF(Drivers!E20,0,D112)+E32</f>
        <v>673337.1869716699</v>
      </c>
      <c r="F112" s="18">
        <f>IF(Drivers!F20,0,E112)+F32</f>
        <v>696364.81967528095</v>
      </c>
      <c r="G112" s="18">
        <f>IF(Drivers!G20,0,F112)+G32</f>
        <v>75029.389496681208</v>
      </c>
      <c r="H112" s="18">
        <f>IF(Drivers!H20,0,G112)+H32</f>
        <v>116324.27098759497</v>
      </c>
      <c r="I112" s="18">
        <f>IF(Drivers!I20,0,H112)+I32</f>
        <v>180970.76474534441</v>
      </c>
      <c r="J112" s="18">
        <f>IF(Drivers!J20,0,I112)+J32</f>
        <v>223569.69346720772</v>
      </c>
      <c r="K112" s="18">
        <f>IF(Drivers!K20,0,J112)+K32</f>
        <v>288207.29222461017</v>
      </c>
      <c r="L112" s="18">
        <f>IF(Drivers!L20,0,K112)+L32</f>
        <v>344985.44806517329</v>
      </c>
      <c r="M112" s="18">
        <f>IF(Drivers!M20,0,L112)+M32</f>
        <v>403389.58111826988</v>
      </c>
      <c r="N112" s="18">
        <f>IF(Drivers!N20,0,M112)+N32</f>
        <v>444022.22909374838</v>
      </c>
      <c r="O112" s="18">
        <f>IF(Drivers!O20,0,N112)+O32</f>
        <v>484761.89452416729</v>
      </c>
    </row>
  </sheetData>
  <mergeCells count="1">
    <mergeCell ref="A1:P1"/>
  </mergeCells>
  <conditionalFormatting sqref="D81:O82">
    <cfRule type="cellIs" dxfId="0" priority="1" operator="notBetween">
      <formula>-0.01</formula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showGridLines="0" workbookViewId="0">
      <pane xSplit="1" ySplit="27" topLeftCell="B2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0" customWidth="1"/>
    <col min="2" max="11" width="13" customWidth="1"/>
  </cols>
  <sheetData>
    <row r="1" spans="1:12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9" x14ac:dyDescent="0.25">
      <c r="A2" s="1" t="s">
        <v>384</v>
      </c>
    </row>
    <row r="3" spans="1:12" x14ac:dyDescent="0.2">
      <c r="A3" s="2" t="s">
        <v>385</v>
      </c>
    </row>
    <row r="5" spans="1:12" ht="16" x14ac:dyDescent="0.2">
      <c r="A5" s="6"/>
      <c r="B5" s="7" t="s">
        <v>27</v>
      </c>
      <c r="C5" s="7" t="s">
        <v>23</v>
      </c>
      <c r="D5" s="7" t="s">
        <v>28</v>
      </c>
    </row>
    <row r="6" spans="1:12" x14ac:dyDescent="0.2">
      <c r="A6" t="s">
        <v>337</v>
      </c>
      <c r="B6" s="18">
        <v>9571064.4198422525</v>
      </c>
      <c r="C6" s="18">
        <v>10401988.339935269</v>
      </c>
      <c r="D6" s="18">
        <v>11201333.439924389</v>
      </c>
    </row>
    <row r="7" spans="1:12" x14ac:dyDescent="0.2">
      <c r="A7" t="s">
        <v>386</v>
      </c>
      <c r="B7" s="18">
        <v>9249136.2304049861</v>
      </c>
      <c r="C7" s="18">
        <v>10054076.708564339</v>
      </c>
      <c r="D7" s="18">
        <v>10844374.126088919</v>
      </c>
    </row>
    <row r="8" spans="1:12" x14ac:dyDescent="0.2">
      <c r="A8" t="s">
        <v>218</v>
      </c>
      <c r="B8" s="18">
        <v>3879628.222485791</v>
      </c>
      <c r="C8" s="18">
        <v>4322091.8288322045</v>
      </c>
      <c r="D8" s="18">
        <v>4885303.5862586889</v>
      </c>
    </row>
    <row r="9" spans="1:12" x14ac:dyDescent="0.2">
      <c r="A9" t="s">
        <v>387</v>
      </c>
      <c r="B9" s="18">
        <v>41.945843653293409</v>
      </c>
      <c r="C9" s="18">
        <v>42.988450895252527</v>
      </c>
      <c r="D9" s="18">
        <v>45.049198132198711</v>
      </c>
    </row>
    <row r="10" spans="1:12" x14ac:dyDescent="0.2">
      <c r="A10" t="s">
        <v>233</v>
      </c>
      <c r="B10" s="18">
        <v>380793.26998302952</v>
      </c>
      <c r="C10" s="18">
        <v>797353.34889710858</v>
      </c>
      <c r="D10" s="18">
        <v>1291546.66221284</v>
      </c>
    </row>
    <row r="11" spans="1:12" x14ac:dyDescent="0.2">
      <c r="A11" t="s">
        <v>245</v>
      </c>
      <c r="B11" s="18">
        <v>258375.25295949989</v>
      </c>
      <c r="C11" s="18">
        <v>611286.36419944873</v>
      </c>
      <c r="D11" s="18">
        <v>991815.21545256174</v>
      </c>
    </row>
    <row r="12" spans="1:12" x14ac:dyDescent="0.2">
      <c r="A12" t="s">
        <v>388</v>
      </c>
      <c r="B12" s="18">
        <v>2.7935068369966758</v>
      </c>
      <c r="C12" s="18">
        <v>6.079985083849003</v>
      </c>
      <c r="D12" s="18">
        <v>9.1458963322419535</v>
      </c>
    </row>
    <row r="13" spans="1:12" x14ac:dyDescent="0.2">
      <c r="A13" t="s">
        <v>315</v>
      </c>
      <c r="B13" s="18">
        <v>132898.88160855681</v>
      </c>
      <c r="C13" s="18">
        <v>603439.42076029337</v>
      </c>
      <c r="D13" s="18">
        <v>1174584.986537403</v>
      </c>
    </row>
    <row r="14" spans="1:12" x14ac:dyDescent="0.2">
      <c r="A14" t="s">
        <v>389</v>
      </c>
      <c r="B14" s="18">
        <v>1381068.5916085569</v>
      </c>
      <c r="C14" s="18">
        <v>1812609.130760293</v>
      </c>
      <c r="D14" s="18">
        <v>2337754.6965374029</v>
      </c>
    </row>
    <row r="15" spans="1:12" x14ac:dyDescent="0.2">
      <c r="A15" t="s">
        <v>116</v>
      </c>
      <c r="B15" s="18">
        <v>1296703.6490912971</v>
      </c>
      <c r="C15" s="18">
        <v>1520292.571087423</v>
      </c>
      <c r="D15" s="18">
        <v>1799169.937607815</v>
      </c>
    </row>
    <row r="16" spans="1:12" x14ac:dyDescent="0.2">
      <c r="A16" t="s">
        <v>390</v>
      </c>
      <c r="B16" s="18">
        <v>0</v>
      </c>
      <c r="C16" s="18">
        <v>0</v>
      </c>
      <c r="D16" s="18">
        <v>0</v>
      </c>
    </row>
    <row r="17" spans="1:11" x14ac:dyDescent="0.2">
      <c r="A17" t="s">
        <v>391</v>
      </c>
      <c r="B17" s="18">
        <v>529230.11234983488</v>
      </c>
      <c r="C17" s="18">
        <v>547192.10673961975</v>
      </c>
      <c r="D17" s="18">
        <v>559107.10631787067</v>
      </c>
    </row>
    <row r="18" spans="1:11" x14ac:dyDescent="0.2">
      <c r="A18" t="s">
        <v>392</v>
      </c>
      <c r="B18" s="18">
        <v>896774.57403029304</v>
      </c>
      <c r="C18" s="18">
        <v>935249.43876256887</v>
      </c>
      <c r="D18" s="18">
        <v>945337.40780072333</v>
      </c>
    </row>
    <row r="19" spans="1:11" x14ac:dyDescent="0.2">
      <c r="A19" t="s">
        <v>393</v>
      </c>
      <c r="B19" s="18">
        <v>1211126.015816642</v>
      </c>
      <c r="C19" s="18">
        <v>1525037.127056591</v>
      </c>
      <c r="D19" s="18">
        <v>1859565.978309704</v>
      </c>
    </row>
    <row r="20" spans="1:11" x14ac:dyDescent="0.2">
      <c r="A20" t="s">
        <v>394</v>
      </c>
      <c r="B20" s="18">
        <v>1132653.4766013101</v>
      </c>
      <c r="C20" s="18">
        <v>1287419.113737538</v>
      </c>
      <c r="D20" s="18">
        <v>1461076.575007352</v>
      </c>
    </row>
    <row r="21" spans="1:11" x14ac:dyDescent="0.2">
      <c r="A21" t="s">
        <v>325</v>
      </c>
      <c r="B21" s="18">
        <v>309000</v>
      </c>
      <c r="C21" s="18">
        <v>348000</v>
      </c>
      <c r="D21" s="18">
        <v>394000</v>
      </c>
    </row>
    <row r="22" spans="1:11" x14ac:dyDescent="0.2">
      <c r="A22" t="s">
        <v>395</v>
      </c>
      <c r="B22" s="18">
        <v>9.3132257461547852E-10</v>
      </c>
      <c r="C22" s="18">
        <v>9.3132257461547852E-10</v>
      </c>
      <c r="D22" s="18">
        <v>4.6566128730773926E-10</v>
      </c>
    </row>
    <row r="23" spans="1:11" x14ac:dyDescent="0.2">
      <c r="A23" t="s">
        <v>396</v>
      </c>
      <c r="B23" s="18">
        <v>1.164153218269348E-10</v>
      </c>
      <c r="C23" s="18">
        <v>1.01863406598568E-10</v>
      </c>
      <c r="D23" s="18">
        <v>2.182787284255028E-10</v>
      </c>
    </row>
    <row r="26" spans="1:11" x14ac:dyDescent="0.2">
      <c r="A26" s="3" t="s">
        <v>397</v>
      </c>
    </row>
    <row r="27" spans="1:11" ht="32" x14ac:dyDescent="0.2">
      <c r="A27" s="6" t="s">
        <v>398</v>
      </c>
      <c r="B27" s="7" t="s">
        <v>399</v>
      </c>
      <c r="C27" s="7" t="s">
        <v>400</v>
      </c>
      <c r="D27" s="7" t="s">
        <v>401</v>
      </c>
      <c r="E27" s="7" t="s">
        <v>402</v>
      </c>
      <c r="F27" s="7" t="s">
        <v>403</v>
      </c>
      <c r="G27" s="7" t="s">
        <v>404</v>
      </c>
      <c r="H27" s="7" t="s">
        <v>405</v>
      </c>
      <c r="I27" s="7" t="s">
        <v>406</v>
      </c>
      <c r="J27" s="7" t="s">
        <v>245</v>
      </c>
      <c r="K27" s="7" t="s">
        <v>389</v>
      </c>
    </row>
    <row r="28" spans="1:11" x14ac:dyDescent="0.2">
      <c r="A28" t="s">
        <v>407</v>
      </c>
      <c r="B28" t="s">
        <v>31</v>
      </c>
      <c r="C28" s="18">
        <v>0.05</v>
      </c>
      <c r="D28" s="18">
        <v>455502.99896944308</v>
      </c>
      <c r="E28" s="18">
        <v>195813.6830383809</v>
      </c>
      <c r="F28" s="18">
        <v>117278.96490521121</v>
      </c>
      <c r="G28" s="18">
        <v>160107.15419181591</v>
      </c>
      <c r="H28" s="18">
        <v>151107.15419181599</v>
      </c>
      <c r="I28" s="18">
        <v>108278.9649052115</v>
      </c>
      <c r="J28" s="18">
        <v>728565.32910465996</v>
      </c>
      <c r="K28" s="18">
        <v>1963716.284952109</v>
      </c>
    </row>
    <row r="29" spans="1:11" x14ac:dyDescent="0.2">
      <c r="A29" t="s">
        <v>408</v>
      </c>
      <c r="B29" t="s">
        <v>34</v>
      </c>
      <c r="C29" s="18">
        <v>0.02</v>
      </c>
      <c r="D29" s="18">
        <v>0</v>
      </c>
      <c r="E29" s="18">
        <v>209649.06375123089</v>
      </c>
      <c r="F29" s="18">
        <v>161429.77908844801</v>
      </c>
      <c r="G29" s="18">
        <v>208644.2062945026</v>
      </c>
      <c r="H29" s="18">
        <v>188644.2062945026</v>
      </c>
      <c r="I29" s="18">
        <v>141429.7790884485</v>
      </c>
      <c r="J29" s="18">
        <v>772716.14328789676</v>
      </c>
      <c r="K29" s="18">
        <v>2001253.3370547961</v>
      </c>
    </row>
    <row r="30" spans="1:11" x14ac:dyDescent="0.2">
      <c r="A30" t="s">
        <v>409</v>
      </c>
      <c r="B30" t="s">
        <v>37</v>
      </c>
      <c r="C30" s="18">
        <v>0.1</v>
      </c>
      <c r="D30" s="18">
        <v>0</v>
      </c>
      <c r="E30" s="18">
        <v>-2653.3198000006382</v>
      </c>
      <c r="F30" s="18">
        <v>-2043.056246000109</v>
      </c>
      <c r="G30" s="18">
        <v>11223.542754000049</v>
      </c>
      <c r="H30" s="18">
        <v>12223.542754000049</v>
      </c>
      <c r="I30" s="18">
        <v>-1043.056245999876</v>
      </c>
      <c r="J30" s="18">
        <v>609243.30795344862</v>
      </c>
      <c r="K30" s="18">
        <v>1824832.673514293</v>
      </c>
    </row>
    <row r="31" spans="1:11" x14ac:dyDescent="0.2">
      <c r="A31" t="s">
        <v>410</v>
      </c>
      <c r="B31" t="s">
        <v>39</v>
      </c>
      <c r="C31" s="18">
        <v>0.15</v>
      </c>
      <c r="D31" s="18">
        <v>83996.221671868116</v>
      </c>
      <c r="E31" s="18">
        <v>36108.674507277086</v>
      </c>
      <c r="F31" s="18">
        <v>26256.979954724669</v>
      </c>
      <c r="G31" s="18">
        <v>15339.96499202168</v>
      </c>
      <c r="H31" s="18">
        <v>4339.964992021909</v>
      </c>
      <c r="I31" s="18">
        <v>15256.979954725361</v>
      </c>
      <c r="J31" s="18">
        <v>637543.34415417339</v>
      </c>
      <c r="K31" s="18">
        <v>1816949.0957523149</v>
      </c>
    </row>
    <row r="32" spans="1:11" x14ac:dyDescent="0.2">
      <c r="A32" t="s">
        <v>411</v>
      </c>
      <c r="B32" t="s">
        <v>41</v>
      </c>
      <c r="C32" s="18">
        <v>0.1</v>
      </c>
      <c r="D32" s="18">
        <v>232917.45842558521</v>
      </c>
      <c r="E32" s="18">
        <v>100127.6072417526</v>
      </c>
      <c r="F32" s="18">
        <v>59969.56879385456</v>
      </c>
      <c r="G32" s="18">
        <v>81869.38728061493</v>
      </c>
      <c r="H32" s="18">
        <v>77869.387280614581</v>
      </c>
      <c r="I32" s="18">
        <v>55969.568793854683</v>
      </c>
      <c r="J32" s="18">
        <v>671255.93299330329</v>
      </c>
      <c r="K32" s="18">
        <v>1890478.518040908</v>
      </c>
    </row>
    <row r="33" spans="1:11" x14ac:dyDescent="0.2">
      <c r="A33" t="s">
        <v>412</v>
      </c>
      <c r="B33" t="s">
        <v>43</v>
      </c>
      <c r="C33" s="18">
        <v>10</v>
      </c>
      <c r="D33" s="18">
        <v>0</v>
      </c>
      <c r="E33" s="18">
        <v>0</v>
      </c>
      <c r="F33" s="18">
        <v>0</v>
      </c>
      <c r="G33" s="18">
        <v>136634.5717626886</v>
      </c>
      <c r="H33" s="18">
        <v>136634.57176268869</v>
      </c>
      <c r="I33" s="18">
        <v>0</v>
      </c>
      <c r="J33" s="18">
        <v>611286.36419944873</v>
      </c>
      <c r="K33" s="18">
        <v>1949243.7025229819</v>
      </c>
    </row>
    <row r="34" spans="1:11" x14ac:dyDescent="0.2">
      <c r="A34" t="s">
        <v>413</v>
      </c>
      <c r="B34" t="s">
        <v>43</v>
      </c>
      <c r="C34" s="18">
        <v>-10</v>
      </c>
      <c r="D34" s="18">
        <v>0</v>
      </c>
      <c r="E34" s="18">
        <v>0</v>
      </c>
      <c r="F34" s="18">
        <v>0</v>
      </c>
      <c r="G34" s="18">
        <v>-136634.5717626886</v>
      </c>
      <c r="H34" s="18">
        <v>-136634.5717626882</v>
      </c>
      <c r="I34" s="18">
        <v>2.328306436538696E-10</v>
      </c>
      <c r="J34" s="18">
        <v>611286.36419944873</v>
      </c>
      <c r="K34" s="18">
        <v>1675974.558997605</v>
      </c>
    </row>
    <row r="35" spans="1:11" x14ac:dyDescent="0.2">
      <c r="A35" t="s">
        <v>414</v>
      </c>
      <c r="B35" t="s">
        <v>46</v>
      </c>
      <c r="C35" s="18">
        <v>-0.05</v>
      </c>
      <c r="D35" s="18">
        <v>0</v>
      </c>
      <c r="E35" s="18">
        <v>0</v>
      </c>
      <c r="F35" s="18">
        <v>88950.848706867313</v>
      </c>
      <c r="G35" s="18">
        <v>105777.4700839891</v>
      </c>
      <c r="H35" s="18">
        <v>94777.470083989436</v>
      </c>
      <c r="I35" s="18">
        <v>77950.848706867546</v>
      </c>
      <c r="J35" s="18">
        <v>700237.21290631604</v>
      </c>
      <c r="K35" s="18">
        <v>1907386.6008442829</v>
      </c>
    </row>
    <row r="36" spans="1:11" x14ac:dyDescent="0.2">
      <c r="A36" t="s">
        <v>415</v>
      </c>
      <c r="B36" t="s">
        <v>46</v>
      </c>
      <c r="C36" s="18">
        <v>0.05</v>
      </c>
      <c r="D36" s="18">
        <v>0</v>
      </c>
      <c r="E36" s="18">
        <v>0</v>
      </c>
      <c r="F36" s="18">
        <v>-93175.442598047783</v>
      </c>
      <c r="G36" s="18">
        <v>-105777.470083989</v>
      </c>
      <c r="H36" s="18">
        <v>-94777.47008398897</v>
      </c>
      <c r="I36" s="18">
        <v>-82175.442598047666</v>
      </c>
      <c r="J36" s="18">
        <v>518110.92160140089</v>
      </c>
      <c r="K36" s="18">
        <v>1717831.660676304</v>
      </c>
    </row>
    <row r="37" spans="1:11" x14ac:dyDescent="0.2">
      <c r="A37" t="s">
        <v>416</v>
      </c>
      <c r="B37" t="s">
        <v>48</v>
      </c>
      <c r="C37" s="18">
        <v>0.02</v>
      </c>
      <c r="D37" s="18">
        <v>-193588.94221376631</v>
      </c>
      <c r="E37" s="18">
        <v>-83220.887362205423</v>
      </c>
      <c r="F37" s="18">
        <v>-50191.832109528586</v>
      </c>
      <c r="G37" s="18">
        <v>-68045.599460321944</v>
      </c>
      <c r="H37" s="18">
        <v>-64045.599460321711</v>
      </c>
      <c r="I37" s="18">
        <v>-46191.832109527903</v>
      </c>
      <c r="J37" s="18">
        <v>561094.53208992013</v>
      </c>
      <c r="K37" s="18">
        <v>1748563.531299972</v>
      </c>
    </row>
    <row r="38" spans="1:11" x14ac:dyDescent="0.2">
      <c r="A38" t="s">
        <v>417</v>
      </c>
      <c r="B38" t="s">
        <v>48</v>
      </c>
      <c r="C38" s="18">
        <v>-0.02</v>
      </c>
      <c r="D38" s="18">
        <v>193588.94221376811</v>
      </c>
      <c r="E38" s="18">
        <v>83220.887362203561</v>
      </c>
      <c r="F38" s="18">
        <v>49843.603250235668</v>
      </c>
      <c r="G38" s="18">
        <v>68045.599460321944</v>
      </c>
      <c r="H38" s="18">
        <v>64045.599460322177</v>
      </c>
      <c r="I38" s="18">
        <v>45843.603250236483</v>
      </c>
      <c r="J38" s="18">
        <v>661129.96744968439</v>
      </c>
      <c r="K38" s="18">
        <v>1876654.7302206149</v>
      </c>
    </row>
    <row r="39" spans="1:11" x14ac:dyDescent="0.2">
      <c r="A39" t="s">
        <v>418</v>
      </c>
      <c r="B39" t="s">
        <v>50</v>
      </c>
      <c r="C39" s="18">
        <v>0.01</v>
      </c>
      <c r="D39" s="18">
        <v>0</v>
      </c>
      <c r="E39" s="18">
        <v>0</v>
      </c>
      <c r="F39" s="18">
        <v>-761.97817850008141</v>
      </c>
      <c r="G39" s="18">
        <v>-905.72794849984348</v>
      </c>
      <c r="H39" s="18">
        <v>-905.72794849961065</v>
      </c>
      <c r="I39" s="18">
        <v>-761.97817849973217</v>
      </c>
      <c r="J39" s="18">
        <v>610524.38602094864</v>
      </c>
      <c r="K39" s="18">
        <v>1811703.4028117941</v>
      </c>
    </row>
    <row r="42" spans="1:11" x14ac:dyDescent="0.2">
      <c r="A42" s="3" t="s">
        <v>419</v>
      </c>
    </row>
    <row r="43" spans="1:11" x14ac:dyDescent="0.2">
      <c r="A43" t="s">
        <v>420</v>
      </c>
      <c r="B43" s="18">
        <f>SUM(Forecast!D13:O13)</f>
        <v>10054076.708564341</v>
      </c>
    </row>
    <row r="44" spans="1:11" x14ac:dyDescent="0.2">
      <c r="A44" t="s">
        <v>246</v>
      </c>
      <c r="B44" s="18">
        <f>SUM(Forecast!D32:O32)</f>
        <v>611286.36419944861</v>
      </c>
    </row>
    <row r="45" spans="1:11" x14ac:dyDescent="0.2">
      <c r="A45" t="s">
        <v>421</v>
      </c>
      <c r="B45" s="18">
        <f>Forecast!O35</f>
        <v>1812609.1307602942</v>
      </c>
    </row>
    <row r="46" spans="1:11" x14ac:dyDescent="0.2">
      <c r="A46" t="s">
        <v>117</v>
      </c>
      <c r="B46" s="18">
        <f>MIN(Forecast!D35:O35)</f>
        <v>1520292.571087423</v>
      </c>
    </row>
    <row r="47" spans="1:11" x14ac:dyDescent="0.2">
      <c r="A47" t="s">
        <v>422</v>
      </c>
      <c r="B47" s="18">
        <f>MAX(0,MAX(Forecast!D52:O52))</f>
        <v>0</v>
      </c>
    </row>
    <row r="48" spans="1:11" x14ac:dyDescent="0.2">
      <c r="A48" t="s">
        <v>423</v>
      </c>
      <c r="B48" s="18">
        <f>Forecast!O48</f>
        <v>547192.1067396201</v>
      </c>
    </row>
    <row r="49" spans="1:2" x14ac:dyDescent="0.2">
      <c r="A49" t="s">
        <v>424</v>
      </c>
      <c r="B49" s="18">
        <f>MAX(ABS(MIN(Forecast!D81:O81)),ABS(MAX(Forecast!D81:O81)))</f>
        <v>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/>
  </sheetViews>
  <sheetFormatPr baseColWidth="10" defaultColWidth="8.83203125" defaultRowHeight="15" x14ac:dyDescent="0.2"/>
  <cols>
    <col min="1" max="1" width="72" customWidth="1"/>
    <col min="2" max="2" width="14" customWidth="1"/>
  </cols>
  <sheetData>
    <row r="1" spans="1:6" x14ac:dyDescent="0.2">
      <c r="A1" s="22" t="s">
        <v>0</v>
      </c>
      <c r="B1" s="23"/>
      <c r="C1" s="23"/>
      <c r="D1" s="23"/>
      <c r="E1" s="23"/>
      <c r="F1" s="23"/>
    </row>
    <row r="2" spans="1:6" ht="19" x14ac:dyDescent="0.25">
      <c r="A2" s="1" t="s">
        <v>425</v>
      </c>
    </row>
    <row r="5" spans="1:6" ht="16" x14ac:dyDescent="0.2">
      <c r="A5" s="6" t="s">
        <v>426</v>
      </c>
      <c r="B5" s="7" t="s">
        <v>57</v>
      </c>
      <c r="C5" s="7" t="s">
        <v>427</v>
      </c>
    </row>
    <row r="6" spans="1:6" x14ac:dyDescent="0.2">
      <c r="A6" t="s">
        <v>428</v>
      </c>
      <c r="B6" s="20">
        <f>MAX(ABS(MIN(Hist_Balances!$C$66:$AJ$66)),ABS(MAX(Hist_Balances!$C$66:$AJ$66)))</f>
        <v>0</v>
      </c>
      <c r="C6" t="b">
        <f t="shared" ref="C6:C11" si="0">ABS(B6)&lt;0.01</f>
        <v>1</v>
      </c>
    </row>
    <row r="7" spans="1:6" x14ac:dyDescent="0.2">
      <c r="A7" t="s">
        <v>429</v>
      </c>
      <c r="B7" s="20">
        <f>MAX(ABS(MIN(Hist_BS!C33:AI33)),ABS(MAX(Hist_BS!C33:AI33)))</f>
        <v>0</v>
      </c>
      <c r="C7" t="b">
        <f t="shared" si="0"/>
        <v>1</v>
      </c>
    </row>
    <row r="8" spans="1:6" x14ac:dyDescent="0.2">
      <c r="A8" t="s">
        <v>430</v>
      </c>
      <c r="B8" s="20">
        <f>MAX(ABS(MIN(Hist_CF!C25:AI25)),ABS(MAX(Hist_CF!C25:AI25)))</f>
        <v>0</v>
      </c>
      <c r="C8" t="b">
        <f t="shared" si="0"/>
        <v>1</v>
      </c>
    </row>
    <row r="9" spans="1:6" x14ac:dyDescent="0.2">
      <c r="A9" t="s">
        <v>431</v>
      </c>
      <c r="B9" s="20">
        <f>MAX(ABS(MIN(Forecast!D81:O81)),ABS(MAX(Forecast!D81:O81)))</f>
        <v>0</v>
      </c>
      <c r="C9" t="b">
        <f t="shared" si="0"/>
        <v>1</v>
      </c>
    </row>
    <row r="10" spans="1:6" x14ac:dyDescent="0.2">
      <c r="A10" t="s">
        <v>432</v>
      </c>
      <c r="B10" s="20">
        <f>MAX(ABS(MIN(Forecast!D82:O82)),ABS(MAX(Forecast!D82:O82)))</f>
        <v>1.1641532182693481E-10</v>
      </c>
      <c r="C10" t="b">
        <f t="shared" si="0"/>
        <v>1</v>
      </c>
    </row>
    <row r="11" spans="1:6" x14ac:dyDescent="0.2">
      <c r="A11" t="s">
        <v>433</v>
      </c>
      <c r="B11" s="20">
        <f>ROUND(Forecast!C35-Hist_BS!AI6,2)</f>
        <v>0</v>
      </c>
      <c r="C11" t="b">
        <f t="shared" si="0"/>
        <v>1</v>
      </c>
    </row>
    <row r="12" spans="1:6" x14ac:dyDescent="0.2">
      <c r="A12" s="4" t="s">
        <v>434</v>
      </c>
      <c r="C12" s="4" t="b">
        <f>AND(C6:C11)</f>
        <v>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19" x14ac:dyDescent="0.25">
      <c r="A2" s="1" t="s">
        <v>435</v>
      </c>
    </row>
    <row r="3" spans="1:40" x14ac:dyDescent="0.2">
      <c r="A3" s="2" t="s">
        <v>436</v>
      </c>
    </row>
    <row r="5" spans="1:40" ht="32" x14ac:dyDescent="0.2">
      <c r="A5" s="6" t="s">
        <v>144</v>
      </c>
      <c r="B5" s="7" t="s">
        <v>24</v>
      </c>
      <c r="C5" s="7" t="s">
        <v>437</v>
      </c>
      <c r="D5" s="7" t="s">
        <v>438</v>
      </c>
      <c r="E5" s="7" t="s">
        <v>439</v>
      </c>
      <c r="F5" s="7" t="s">
        <v>440</v>
      </c>
      <c r="G5" s="7" t="s">
        <v>441</v>
      </c>
      <c r="H5" s="7" t="s">
        <v>442</v>
      </c>
      <c r="I5" s="7" t="s">
        <v>443</v>
      </c>
      <c r="J5" s="7" t="s">
        <v>444</v>
      </c>
      <c r="K5" s="7" t="s">
        <v>445</v>
      </c>
      <c r="L5" s="7" t="s">
        <v>446</v>
      </c>
      <c r="M5" s="7" t="s">
        <v>447</v>
      </c>
      <c r="N5" s="7" t="s">
        <v>448</v>
      </c>
      <c r="O5" s="7" t="s">
        <v>449</v>
      </c>
      <c r="P5" s="7" t="s">
        <v>450</v>
      </c>
      <c r="Q5" s="7" t="s">
        <v>451</v>
      </c>
      <c r="R5" s="7" t="s">
        <v>452</v>
      </c>
      <c r="S5" s="7" t="s">
        <v>453</v>
      </c>
      <c r="T5" s="7" t="s">
        <v>454</v>
      </c>
      <c r="U5" s="7" t="s">
        <v>455</v>
      </c>
      <c r="V5" s="7" t="s">
        <v>456</v>
      </c>
      <c r="W5" s="7" t="s">
        <v>457</v>
      </c>
      <c r="X5" s="7" t="s">
        <v>458</v>
      </c>
      <c r="Y5" s="7" t="s">
        <v>459</v>
      </c>
      <c r="Z5" s="7" t="s">
        <v>460</v>
      </c>
      <c r="AA5" s="7" t="s">
        <v>461</v>
      </c>
      <c r="AB5" s="7" t="s">
        <v>462</v>
      </c>
      <c r="AC5" s="7" t="s">
        <v>463</v>
      </c>
      <c r="AD5" s="7" t="s">
        <v>464</v>
      </c>
      <c r="AE5" s="7" t="s">
        <v>465</v>
      </c>
      <c r="AF5" s="7" t="s">
        <v>466</v>
      </c>
      <c r="AG5" s="7" t="s">
        <v>467</v>
      </c>
      <c r="AH5" s="7" t="s">
        <v>468</v>
      </c>
      <c r="AI5" s="7" t="s">
        <v>469</v>
      </c>
      <c r="AJ5" s="7" t="s">
        <v>470</v>
      </c>
      <c r="AK5" s="7" t="s">
        <v>471</v>
      </c>
      <c r="AL5" s="7" t="s">
        <v>472</v>
      </c>
    </row>
    <row r="6" spans="1:40" x14ac:dyDescent="0.2">
      <c r="A6" t="s">
        <v>473</v>
      </c>
      <c r="B6" s="8" t="s">
        <v>474</v>
      </c>
      <c r="C6" s="18">
        <v>309788.86</v>
      </c>
      <c r="D6" s="18">
        <v>221836.01</v>
      </c>
      <c r="E6" s="18">
        <v>211177.58</v>
      </c>
      <c r="F6" s="18">
        <v>179993.87</v>
      </c>
      <c r="G6" s="18">
        <v>221197.61</v>
      </c>
      <c r="H6" s="18">
        <v>261826.19</v>
      </c>
      <c r="I6" s="18">
        <v>250254.41</v>
      </c>
      <c r="J6" s="18">
        <v>234255.93</v>
      </c>
      <c r="K6" s="18">
        <v>224786.22</v>
      </c>
      <c r="L6" s="18">
        <v>232668.23</v>
      </c>
      <c r="M6" s="18">
        <v>278883.33</v>
      </c>
      <c r="N6" s="18">
        <v>237041.04</v>
      </c>
      <c r="O6" s="18">
        <v>311517.01</v>
      </c>
      <c r="P6" s="18">
        <v>230123.16</v>
      </c>
      <c r="Q6" s="18">
        <v>320540.76</v>
      </c>
      <c r="R6" s="18">
        <v>219338</v>
      </c>
      <c r="S6" s="18">
        <v>283717.06</v>
      </c>
      <c r="T6" s="18">
        <v>255942.51</v>
      </c>
      <c r="U6" s="18">
        <v>237331.46</v>
      </c>
      <c r="V6" s="18">
        <v>233425.01</v>
      </c>
      <c r="W6" s="18">
        <v>239149.89</v>
      </c>
      <c r="X6" s="18">
        <v>251243.25</v>
      </c>
      <c r="Y6" s="18">
        <v>251511.27</v>
      </c>
      <c r="Z6" s="18">
        <v>222952.42</v>
      </c>
      <c r="AA6" s="18">
        <v>382635.13</v>
      </c>
      <c r="AB6" s="18">
        <v>238394.6</v>
      </c>
      <c r="AC6" s="18">
        <v>306598.09000000003</v>
      </c>
      <c r="AD6" s="18">
        <v>282109.94</v>
      </c>
      <c r="AE6" s="18">
        <v>342796.83</v>
      </c>
      <c r="AF6" s="18">
        <v>349744.27</v>
      </c>
      <c r="AG6" s="18">
        <v>268523.05</v>
      </c>
      <c r="AH6" s="18">
        <v>268342.42</v>
      </c>
      <c r="AI6" s="18">
        <v>304372.57</v>
      </c>
      <c r="AJ6" s="18">
        <f t="shared" ref="AJ6:AJ39" si="0">SUM(C6:N6)</f>
        <v>2863709.28</v>
      </c>
      <c r="AK6" s="18">
        <f t="shared" ref="AK6:AK39" si="1">SUM(O6:Z6)</f>
        <v>3056791.8000000003</v>
      </c>
      <c r="AL6" s="18">
        <f t="shared" ref="AL6:AL39" si="2">SUM(AA6:AI6)</f>
        <v>2743516.9</v>
      </c>
    </row>
    <row r="7" spans="1:40" x14ac:dyDescent="0.2">
      <c r="A7" t="s">
        <v>475</v>
      </c>
      <c r="B7" s="8" t="s">
        <v>476</v>
      </c>
      <c r="C7" s="18">
        <v>202461.72</v>
      </c>
      <c r="D7" s="18">
        <v>124724.28</v>
      </c>
      <c r="E7" s="18">
        <v>164028.43</v>
      </c>
      <c r="F7" s="18">
        <v>130732.01</v>
      </c>
      <c r="G7" s="18">
        <v>163144.82999999999</v>
      </c>
      <c r="H7" s="18">
        <v>89622.65</v>
      </c>
      <c r="I7" s="18">
        <v>162818.99</v>
      </c>
      <c r="J7" s="18">
        <v>146442.10999999999</v>
      </c>
      <c r="K7" s="18">
        <v>160021.9</v>
      </c>
      <c r="L7" s="18">
        <v>105099.46</v>
      </c>
      <c r="M7" s="18">
        <v>180390.69</v>
      </c>
      <c r="N7" s="18">
        <v>144954.95000000001</v>
      </c>
      <c r="O7" s="18">
        <v>166279.98000000001</v>
      </c>
      <c r="P7" s="18">
        <v>120703.82</v>
      </c>
      <c r="Q7" s="18">
        <v>173432.57</v>
      </c>
      <c r="R7" s="18">
        <v>153781.76000000001</v>
      </c>
      <c r="S7" s="18">
        <v>159793.04999999999</v>
      </c>
      <c r="T7" s="18">
        <v>146408.32999999999</v>
      </c>
      <c r="U7" s="18">
        <v>148461.42000000001</v>
      </c>
      <c r="V7" s="18">
        <v>141766.62</v>
      </c>
      <c r="W7" s="18">
        <v>115732.74</v>
      </c>
      <c r="X7" s="18">
        <v>145507.28</v>
      </c>
      <c r="Y7" s="18">
        <v>167443.39000000001</v>
      </c>
      <c r="Z7" s="18">
        <v>135248.85999999999</v>
      </c>
      <c r="AA7" s="18">
        <v>160300.13</v>
      </c>
      <c r="AB7" s="18">
        <v>141425.48000000001</v>
      </c>
      <c r="AC7" s="18">
        <v>167711.98000000001</v>
      </c>
      <c r="AD7" s="18">
        <v>173247.75</v>
      </c>
      <c r="AE7" s="18">
        <v>157879.78</v>
      </c>
      <c r="AF7" s="18">
        <v>182181.36</v>
      </c>
      <c r="AG7" s="18">
        <v>194951.69</v>
      </c>
      <c r="AH7" s="18">
        <v>131862.34</v>
      </c>
      <c r="AI7" s="18">
        <v>134635.14000000001</v>
      </c>
      <c r="AJ7" s="18">
        <f t="shared" si="0"/>
        <v>1774442.0199999998</v>
      </c>
      <c r="AK7" s="18">
        <f t="shared" si="1"/>
        <v>1774559.8200000003</v>
      </c>
      <c r="AL7" s="18">
        <f t="shared" si="2"/>
        <v>1444195.65</v>
      </c>
    </row>
    <row r="8" spans="1:40" x14ac:dyDescent="0.2">
      <c r="A8" t="s">
        <v>477</v>
      </c>
      <c r="B8" s="8" t="s">
        <v>478</v>
      </c>
      <c r="C8" s="18">
        <v>102730.95</v>
      </c>
      <c r="D8" s="18">
        <v>40496.93</v>
      </c>
      <c r="E8" s="18">
        <v>68452.899999999994</v>
      </c>
      <c r="F8" s="18">
        <v>62719.94</v>
      </c>
      <c r="G8" s="18">
        <v>73833.97</v>
      </c>
      <c r="H8" s="18">
        <v>49329.99</v>
      </c>
      <c r="I8" s="18">
        <v>82338.899999999994</v>
      </c>
      <c r="J8" s="18">
        <v>71884.97</v>
      </c>
      <c r="K8" s="18">
        <v>52988.95</v>
      </c>
      <c r="L8" s="18">
        <v>67823.95</v>
      </c>
      <c r="M8" s="18">
        <v>87026.93</v>
      </c>
      <c r="N8" s="18">
        <v>71183.97</v>
      </c>
      <c r="O8" s="18">
        <v>64050.91</v>
      </c>
      <c r="P8" s="18">
        <v>59508.89</v>
      </c>
      <c r="Q8" s="18">
        <v>92895.95</v>
      </c>
      <c r="R8" s="18">
        <v>69986.97</v>
      </c>
      <c r="S8" s="18">
        <v>99447.97</v>
      </c>
      <c r="T8" s="18">
        <v>85939.95</v>
      </c>
      <c r="U8" s="18">
        <v>83440.960000000006</v>
      </c>
      <c r="V8" s="18">
        <v>58987.96</v>
      </c>
      <c r="W8" s="18">
        <v>62810.89</v>
      </c>
      <c r="X8" s="18">
        <v>71887.91</v>
      </c>
      <c r="Y8" s="18">
        <v>106833.89</v>
      </c>
      <c r="Z8" s="18">
        <v>83404.95</v>
      </c>
      <c r="AA8" s="18">
        <v>66318.929999999993</v>
      </c>
      <c r="AB8" s="18">
        <v>87747.96</v>
      </c>
      <c r="AC8" s="18">
        <v>83314.929999999993</v>
      </c>
      <c r="AD8" s="18">
        <v>85870.9</v>
      </c>
      <c r="AE8" s="18">
        <v>89013.88</v>
      </c>
      <c r="AF8" s="18">
        <v>95212.95</v>
      </c>
      <c r="AG8" s="18">
        <v>84845.94</v>
      </c>
      <c r="AH8" s="18">
        <v>61900.98</v>
      </c>
      <c r="AI8" s="18">
        <v>51728.91</v>
      </c>
      <c r="AJ8" s="18">
        <f t="shared" si="0"/>
        <v>830812.34999999986</v>
      </c>
      <c r="AK8" s="18">
        <f t="shared" si="1"/>
        <v>939197.2</v>
      </c>
      <c r="AL8" s="18">
        <f t="shared" si="2"/>
        <v>705955.38</v>
      </c>
    </row>
    <row r="9" spans="1:40" x14ac:dyDescent="0.2">
      <c r="A9" t="s">
        <v>479</v>
      </c>
      <c r="B9" s="8" t="s">
        <v>480</v>
      </c>
      <c r="C9" s="18">
        <v>188416</v>
      </c>
      <c r="D9" s="18">
        <v>172463</v>
      </c>
      <c r="E9" s="18">
        <v>131705</v>
      </c>
      <c r="F9" s="18">
        <v>168550</v>
      </c>
      <c r="G9" s="18">
        <v>165002</v>
      </c>
      <c r="H9" s="18">
        <v>209645</v>
      </c>
      <c r="I9" s="18">
        <v>175485</v>
      </c>
      <c r="J9" s="18">
        <v>146229</v>
      </c>
      <c r="K9" s="18">
        <v>215113</v>
      </c>
      <c r="L9" s="18">
        <v>157047</v>
      </c>
      <c r="M9" s="18">
        <v>192362</v>
      </c>
      <c r="N9" s="18">
        <v>196088</v>
      </c>
      <c r="O9" s="18">
        <v>174917</v>
      </c>
      <c r="P9" s="18">
        <v>180812</v>
      </c>
      <c r="Q9" s="18">
        <v>163441</v>
      </c>
      <c r="R9" s="18">
        <v>205647</v>
      </c>
      <c r="S9" s="18">
        <v>215723</v>
      </c>
      <c r="T9" s="18">
        <v>228138</v>
      </c>
      <c r="U9" s="18">
        <v>182779</v>
      </c>
      <c r="V9" s="18">
        <v>232108</v>
      </c>
      <c r="W9" s="18">
        <v>207194</v>
      </c>
      <c r="X9" s="18">
        <v>228866</v>
      </c>
      <c r="Y9" s="18">
        <v>227417</v>
      </c>
      <c r="Z9" s="18">
        <v>226803</v>
      </c>
      <c r="AA9" s="18">
        <v>217500</v>
      </c>
      <c r="AB9" s="18">
        <v>140112</v>
      </c>
      <c r="AC9" s="18">
        <v>208114</v>
      </c>
      <c r="AD9" s="18">
        <v>194416</v>
      </c>
      <c r="AE9" s="18">
        <v>188175</v>
      </c>
      <c r="AF9" s="18">
        <v>189131</v>
      </c>
      <c r="AG9" s="18">
        <v>211309</v>
      </c>
      <c r="AH9" s="18">
        <v>213516</v>
      </c>
      <c r="AI9" s="18">
        <v>209749</v>
      </c>
      <c r="AJ9" s="18">
        <f t="shared" si="0"/>
        <v>2118105</v>
      </c>
      <c r="AK9" s="18">
        <f t="shared" si="1"/>
        <v>2473845</v>
      </c>
      <c r="AL9" s="18">
        <f t="shared" si="2"/>
        <v>1772022</v>
      </c>
    </row>
    <row r="10" spans="1:40" x14ac:dyDescent="0.2">
      <c r="A10" t="s">
        <v>481</v>
      </c>
      <c r="B10" s="8" t="s">
        <v>482</v>
      </c>
      <c r="C10" s="18">
        <v>105983.94</v>
      </c>
      <c r="D10" s="18">
        <v>83380.850000000006</v>
      </c>
      <c r="E10" s="18">
        <v>94654</v>
      </c>
      <c r="F10" s="18">
        <v>74519</v>
      </c>
      <c r="G10" s="18">
        <v>98130</v>
      </c>
      <c r="H10" s="18">
        <v>92435.92</v>
      </c>
      <c r="I10" s="18">
        <v>99732.79</v>
      </c>
      <c r="J10" s="18">
        <v>91182.66</v>
      </c>
      <c r="K10" s="18">
        <v>91383.71</v>
      </c>
      <c r="L10" s="18">
        <v>95628.79</v>
      </c>
      <c r="M10" s="18">
        <v>111548</v>
      </c>
      <c r="N10" s="18">
        <v>84086.85</v>
      </c>
      <c r="O10" s="18">
        <v>99269.8</v>
      </c>
      <c r="P10" s="18">
        <v>88328.85</v>
      </c>
      <c r="Q10" s="18">
        <v>107858.16</v>
      </c>
      <c r="R10" s="18">
        <v>91859.98</v>
      </c>
      <c r="S10" s="18">
        <v>148697.45000000001</v>
      </c>
      <c r="T10" s="18">
        <v>96007.72</v>
      </c>
      <c r="U10" s="18">
        <v>110555.85</v>
      </c>
      <c r="V10" s="18">
        <v>99735.92</v>
      </c>
      <c r="W10" s="18">
        <v>109951.11</v>
      </c>
      <c r="X10" s="18">
        <v>92092.49</v>
      </c>
      <c r="Y10" s="18">
        <v>126381.92</v>
      </c>
      <c r="Z10" s="18">
        <v>90268.64</v>
      </c>
      <c r="AA10" s="18">
        <v>131928.94</v>
      </c>
      <c r="AB10" s="18">
        <v>108885.64</v>
      </c>
      <c r="AC10" s="18">
        <v>104269.7</v>
      </c>
      <c r="AD10" s="18">
        <v>102870.12</v>
      </c>
      <c r="AE10" s="18">
        <v>141054.31</v>
      </c>
      <c r="AF10" s="18">
        <v>118100.79</v>
      </c>
      <c r="AG10" s="18">
        <v>94037.04</v>
      </c>
      <c r="AH10" s="18">
        <v>101747.96</v>
      </c>
      <c r="AI10" s="18">
        <v>127892</v>
      </c>
      <c r="AJ10" s="18">
        <f t="shared" si="0"/>
        <v>1122666.5100000002</v>
      </c>
      <c r="AK10" s="18">
        <f t="shared" si="1"/>
        <v>1261007.8899999999</v>
      </c>
      <c r="AL10" s="18">
        <f t="shared" si="2"/>
        <v>1030786.5</v>
      </c>
    </row>
    <row r="11" spans="1:40" x14ac:dyDescent="0.2">
      <c r="A11" t="s">
        <v>483</v>
      </c>
      <c r="B11" s="8" t="s">
        <v>484</v>
      </c>
      <c r="C11" s="18">
        <v>6847</v>
      </c>
      <c r="D11" s="18">
        <v>6280</v>
      </c>
      <c r="E11" s="18">
        <v>5097.43</v>
      </c>
      <c r="F11" s="18">
        <v>7682.43</v>
      </c>
      <c r="G11" s="18">
        <v>8204</v>
      </c>
      <c r="H11" s="18">
        <v>9282</v>
      </c>
      <c r="I11" s="18">
        <v>0</v>
      </c>
      <c r="J11" s="18">
        <v>6892</v>
      </c>
      <c r="K11" s="18">
        <v>4216</v>
      </c>
      <c r="L11" s="18">
        <v>3694</v>
      </c>
      <c r="M11" s="18">
        <v>2837</v>
      </c>
      <c r="N11" s="18">
        <v>6915</v>
      </c>
      <c r="O11" s="18">
        <v>9997</v>
      </c>
      <c r="P11" s="18">
        <v>2745</v>
      </c>
      <c r="Q11" s="18">
        <v>1978</v>
      </c>
      <c r="R11" s="18">
        <v>5435</v>
      </c>
      <c r="S11" s="18">
        <v>7304</v>
      </c>
      <c r="T11" s="18">
        <v>10073</v>
      </c>
      <c r="U11" s="18">
        <v>9214</v>
      </c>
      <c r="V11" s="18">
        <v>7825</v>
      </c>
      <c r="W11" s="18">
        <v>5006</v>
      </c>
      <c r="X11" s="18">
        <v>8775</v>
      </c>
      <c r="Y11" s="18">
        <v>12856</v>
      </c>
      <c r="Z11" s="18">
        <v>16299</v>
      </c>
      <c r="AA11" s="18">
        <v>7175</v>
      </c>
      <c r="AB11" s="18">
        <v>7656</v>
      </c>
      <c r="AC11" s="18">
        <v>3797</v>
      </c>
      <c r="AD11" s="18">
        <v>3458</v>
      </c>
      <c r="AE11" s="18">
        <v>11241</v>
      </c>
      <c r="AF11" s="18">
        <v>3627</v>
      </c>
      <c r="AG11" s="18">
        <v>6756</v>
      </c>
      <c r="AH11" s="18">
        <v>7176</v>
      </c>
      <c r="AI11" s="18">
        <v>4576</v>
      </c>
      <c r="AJ11" s="18">
        <f t="shared" si="0"/>
        <v>67946.86</v>
      </c>
      <c r="AK11" s="18">
        <f t="shared" si="1"/>
        <v>97507</v>
      </c>
      <c r="AL11" s="18">
        <f t="shared" si="2"/>
        <v>55462</v>
      </c>
    </row>
    <row r="12" spans="1:40" x14ac:dyDescent="0.2">
      <c r="A12" t="s">
        <v>485</v>
      </c>
      <c r="B12" s="8" t="s">
        <v>486</v>
      </c>
      <c r="C12" s="18">
        <v>61715.88</v>
      </c>
      <c r="D12" s="18">
        <v>37341.85</v>
      </c>
      <c r="E12" s="18">
        <v>41058.949999999997</v>
      </c>
      <c r="F12" s="18">
        <v>41416.89</v>
      </c>
      <c r="G12" s="18">
        <v>48157.9</v>
      </c>
      <c r="H12" s="18">
        <v>51925.91</v>
      </c>
      <c r="I12" s="18">
        <v>57994.9</v>
      </c>
      <c r="J12" s="18">
        <v>45348.9</v>
      </c>
      <c r="K12" s="18">
        <v>43489.9</v>
      </c>
      <c r="L12" s="18">
        <v>41857.910000000003</v>
      </c>
      <c r="M12" s="18">
        <v>55920.9</v>
      </c>
      <c r="N12" s="18">
        <v>58075.88</v>
      </c>
      <c r="O12" s="18">
        <v>53799.88</v>
      </c>
      <c r="P12" s="18">
        <v>49360.88</v>
      </c>
      <c r="Q12" s="18">
        <v>48178.86</v>
      </c>
      <c r="R12" s="18">
        <v>56593.89</v>
      </c>
      <c r="S12" s="18">
        <v>54672.88</v>
      </c>
      <c r="T12" s="18">
        <v>45865.89</v>
      </c>
      <c r="U12" s="18">
        <v>51110.879999999997</v>
      </c>
      <c r="V12" s="18">
        <v>50791.82</v>
      </c>
      <c r="W12" s="18">
        <v>47875.9</v>
      </c>
      <c r="X12" s="18">
        <v>48023.86</v>
      </c>
      <c r="Y12" s="18">
        <v>53576.93</v>
      </c>
      <c r="Z12" s="18">
        <v>39443.879999999997</v>
      </c>
      <c r="AA12" s="18">
        <v>73875.789999999994</v>
      </c>
      <c r="AB12" s="18">
        <v>56179.839999999997</v>
      </c>
      <c r="AC12" s="18">
        <v>53901.94</v>
      </c>
      <c r="AD12" s="18">
        <v>51354.9</v>
      </c>
      <c r="AE12" s="18">
        <v>63379.85</v>
      </c>
      <c r="AF12" s="18">
        <v>65740.84</v>
      </c>
      <c r="AG12" s="18">
        <v>52368.88</v>
      </c>
      <c r="AH12" s="18">
        <v>59206.94</v>
      </c>
      <c r="AI12" s="18">
        <v>56283.89</v>
      </c>
      <c r="AJ12" s="18">
        <f t="shared" si="0"/>
        <v>584305.77000000014</v>
      </c>
      <c r="AK12" s="18">
        <f t="shared" si="1"/>
        <v>599295.55000000005</v>
      </c>
      <c r="AL12" s="18">
        <f t="shared" si="2"/>
        <v>532292.87</v>
      </c>
    </row>
    <row r="13" spans="1:40" x14ac:dyDescent="0.2">
      <c r="A13" s="16" t="s">
        <v>199</v>
      </c>
      <c r="B13" s="16" t="s">
        <v>198</v>
      </c>
      <c r="C13" s="17">
        <f t="shared" ref="C13:AI13" si="3">C6+C7+C8+C9+C10+C11+C12</f>
        <v>977944.35</v>
      </c>
      <c r="D13" s="17">
        <f t="shared" si="3"/>
        <v>686522.91999999993</v>
      </c>
      <c r="E13" s="17">
        <f t="shared" si="3"/>
        <v>716174.29</v>
      </c>
      <c r="F13" s="17">
        <f t="shared" si="3"/>
        <v>665614.14000000013</v>
      </c>
      <c r="G13" s="17">
        <f t="shared" si="3"/>
        <v>777670.30999999994</v>
      </c>
      <c r="H13" s="17">
        <f t="shared" si="3"/>
        <v>764067.66</v>
      </c>
      <c r="I13" s="17">
        <f t="shared" si="3"/>
        <v>828624.99000000011</v>
      </c>
      <c r="J13" s="17">
        <f t="shared" si="3"/>
        <v>742235.57000000007</v>
      </c>
      <c r="K13" s="17">
        <f t="shared" si="3"/>
        <v>791999.68</v>
      </c>
      <c r="L13" s="17">
        <f t="shared" si="3"/>
        <v>703819.34000000008</v>
      </c>
      <c r="M13" s="17">
        <f t="shared" si="3"/>
        <v>908968.85</v>
      </c>
      <c r="N13" s="17">
        <f t="shared" si="3"/>
        <v>798345.69</v>
      </c>
      <c r="O13" s="17">
        <f t="shared" si="3"/>
        <v>879831.58000000007</v>
      </c>
      <c r="P13" s="17">
        <f t="shared" si="3"/>
        <v>731582.6</v>
      </c>
      <c r="Q13" s="17">
        <f t="shared" si="3"/>
        <v>908325.3</v>
      </c>
      <c r="R13" s="17">
        <f t="shared" si="3"/>
        <v>802642.6</v>
      </c>
      <c r="S13" s="17">
        <f t="shared" si="3"/>
        <v>969355.41</v>
      </c>
      <c r="T13" s="17">
        <f t="shared" si="3"/>
        <v>868375.4</v>
      </c>
      <c r="U13" s="17">
        <f t="shared" si="3"/>
        <v>822893.57000000007</v>
      </c>
      <c r="V13" s="17">
        <f t="shared" si="3"/>
        <v>824640.33000000007</v>
      </c>
      <c r="W13" s="17">
        <f t="shared" si="3"/>
        <v>787720.53</v>
      </c>
      <c r="X13" s="17">
        <f t="shared" si="3"/>
        <v>846395.79</v>
      </c>
      <c r="Y13" s="17">
        <f t="shared" si="3"/>
        <v>946020.40000000014</v>
      </c>
      <c r="Z13" s="17">
        <f t="shared" si="3"/>
        <v>814420.75</v>
      </c>
      <c r="AA13" s="17">
        <f t="shared" si="3"/>
        <v>1039733.9199999999</v>
      </c>
      <c r="AB13" s="17">
        <f t="shared" si="3"/>
        <v>780401.52</v>
      </c>
      <c r="AC13" s="17">
        <f t="shared" si="3"/>
        <v>927707.6399999999</v>
      </c>
      <c r="AD13" s="17">
        <f t="shared" si="3"/>
        <v>893327.61</v>
      </c>
      <c r="AE13" s="17">
        <f t="shared" si="3"/>
        <v>993540.65</v>
      </c>
      <c r="AF13" s="17">
        <f t="shared" si="3"/>
        <v>1003738.21</v>
      </c>
      <c r="AG13" s="17">
        <f t="shared" si="3"/>
        <v>912791.6</v>
      </c>
      <c r="AH13" s="17">
        <f t="shared" si="3"/>
        <v>843752.6399999999</v>
      </c>
      <c r="AI13" s="17">
        <f t="shared" si="3"/>
        <v>889237.51</v>
      </c>
      <c r="AJ13" s="17">
        <f t="shared" si="0"/>
        <v>9361987.7899999991</v>
      </c>
      <c r="AK13" s="17">
        <f t="shared" si="1"/>
        <v>10202204.260000002</v>
      </c>
      <c r="AL13" s="17">
        <f t="shared" si="2"/>
        <v>8284231.2999999989</v>
      </c>
    </row>
    <row r="14" spans="1:40" x14ac:dyDescent="0.2">
      <c r="A14" t="s">
        <v>201</v>
      </c>
      <c r="B14" s="8" t="s">
        <v>200</v>
      </c>
      <c r="C14" s="18">
        <v>-82728.929999999993</v>
      </c>
      <c r="D14" s="18">
        <v>-47242.99</v>
      </c>
      <c r="E14" s="18">
        <v>-38498.14</v>
      </c>
      <c r="F14" s="18">
        <v>-33764.15</v>
      </c>
      <c r="G14" s="18">
        <v>-37118.449999999997</v>
      </c>
      <c r="H14" s="18">
        <v>-30072.04</v>
      </c>
      <c r="I14" s="18">
        <v>-46347.95</v>
      </c>
      <c r="J14" s="18">
        <v>-34656.44</v>
      </c>
      <c r="K14" s="18">
        <v>-50533.93</v>
      </c>
      <c r="L14" s="18">
        <v>-37722.949999999997</v>
      </c>
      <c r="M14" s="18">
        <v>-45204.36</v>
      </c>
      <c r="N14" s="18">
        <v>-69175.8</v>
      </c>
      <c r="O14" s="18">
        <v>-80981.37</v>
      </c>
      <c r="P14" s="18">
        <v>-52999.26</v>
      </c>
      <c r="Q14" s="18">
        <v>-52709.63</v>
      </c>
      <c r="R14" s="18">
        <v>-40124.980000000003</v>
      </c>
      <c r="S14" s="18">
        <v>-48311.51</v>
      </c>
      <c r="T14" s="18">
        <v>-44425.65</v>
      </c>
      <c r="U14" s="18">
        <v>-41884.74</v>
      </c>
      <c r="V14" s="18">
        <v>-39614.71</v>
      </c>
      <c r="W14" s="18">
        <v>-42014.74</v>
      </c>
      <c r="X14" s="18">
        <v>-39584.22</v>
      </c>
      <c r="Y14" s="18">
        <v>-46274.46</v>
      </c>
      <c r="Z14" s="18">
        <v>-62347.02</v>
      </c>
      <c r="AA14" s="18">
        <v>-93884.84</v>
      </c>
      <c r="AB14" s="18">
        <v>-55035.31</v>
      </c>
      <c r="AC14" s="18">
        <v>-52075.78</v>
      </c>
      <c r="AD14" s="18">
        <v>-47743.67</v>
      </c>
      <c r="AE14" s="18">
        <v>-51258.71</v>
      </c>
      <c r="AF14" s="18">
        <v>-50707.64</v>
      </c>
      <c r="AG14" s="18">
        <v>-54658.58</v>
      </c>
      <c r="AH14" s="18">
        <v>-38608.769999999997</v>
      </c>
      <c r="AI14" s="18">
        <v>-48480.95</v>
      </c>
      <c r="AJ14" s="18">
        <f t="shared" si="0"/>
        <v>-553066.13</v>
      </c>
      <c r="AK14" s="18">
        <f t="shared" si="1"/>
        <v>-591272.29</v>
      </c>
      <c r="AL14" s="18">
        <f t="shared" si="2"/>
        <v>-492454.25000000006</v>
      </c>
    </row>
    <row r="15" spans="1:40" x14ac:dyDescent="0.2">
      <c r="A15" t="s">
        <v>203</v>
      </c>
      <c r="B15" s="8" t="s">
        <v>202</v>
      </c>
      <c r="C15" s="18">
        <v>-7165</v>
      </c>
      <c r="D15" s="18">
        <v>-12295</v>
      </c>
      <c r="E15" s="18">
        <v>-12312</v>
      </c>
      <c r="F15" s="18">
        <v>-12828</v>
      </c>
      <c r="G15" s="18">
        <v>-10321</v>
      </c>
      <c r="H15" s="18">
        <v>-10986</v>
      </c>
      <c r="I15" s="18">
        <v>-7371</v>
      </c>
      <c r="J15" s="18">
        <v>-9013</v>
      </c>
      <c r="K15" s="18">
        <v>-7930.75</v>
      </c>
      <c r="L15" s="18">
        <v>-9672</v>
      </c>
      <c r="M15" s="18">
        <v>-25178</v>
      </c>
      <c r="N15" s="18">
        <v>-8322</v>
      </c>
      <c r="O15" s="18">
        <v>-3188</v>
      </c>
      <c r="P15" s="18">
        <v>-1666</v>
      </c>
      <c r="Q15" s="18">
        <v>-2806</v>
      </c>
      <c r="R15" s="18">
        <v>-9003</v>
      </c>
      <c r="S15" s="18">
        <v>-11002</v>
      </c>
      <c r="T15" s="18">
        <v>-6545</v>
      </c>
      <c r="U15" s="18">
        <v>-6924</v>
      </c>
      <c r="V15" s="18">
        <v>-998</v>
      </c>
      <c r="W15" s="18">
        <v>-8467</v>
      </c>
      <c r="X15" s="18">
        <v>-8861</v>
      </c>
      <c r="Y15" s="18">
        <v>-10115</v>
      </c>
      <c r="Z15" s="18">
        <v>-5454</v>
      </c>
      <c r="AA15" s="18">
        <v>0</v>
      </c>
      <c r="AB15" s="18">
        <v>-1549</v>
      </c>
      <c r="AC15" s="18">
        <v>-8612.99</v>
      </c>
      <c r="AD15" s="18">
        <v>-2698</v>
      </c>
      <c r="AE15" s="18">
        <v>-8825.75</v>
      </c>
      <c r="AF15" s="18">
        <v>-14067</v>
      </c>
      <c r="AG15" s="18">
        <v>-3411</v>
      </c>
      <c r="AH15" s="18">
        <v>-16893</v>
      </c>
      <c r="AI15" s="18">
        <v>-14418</v>
      </c>
      <c r="AJ15" s="18">
        <f t="shared" si="0"/>
        <v>-133393.75</v>
      </c>
      <c r="AK15" s="18">
        <f t="shared" si="1"/>
        <v>-75029</v>
      </c>
      <c r="AL15" s="18">
        <f t="shared" si="2"/>
        <v>-70474.739999999991</v>
      </c>
    </row>
    <row r="16" spans="1:40" x14ac:dyDescent="0.2">
      <c r="A16" s="16" t="s">
        <v>487</v>
      </c>
      <c r="B16" s="16" t="s">
        <v>204</v>
      </c>
      <c r="C16" s="17">
        <f t="shared" ref="C16:AI16" si="4">C13+C14+C15</f>
        <v>888050.41999999993</v>
      </c>
      <c r="D16" s="17">
        <f t="shared" si="4"/>
        <v>626984.92999999993</v>
      </c>
      <c r="E16" s="17">
        <f t="shared" si="4"/>
        <v>665364.15</v>
      </c>
      <c r="F16" s="17">
        <f t="shared" si="4"/>
        <v>619021.99000000011</v>
      </c>
      <c r="G16" s="17">
        <f t="shared" si="4"/>
        <v>730230.86</v>
      </c>
      <c r="H16" s="17">
        <f t="shared" si="4"/>
        <v>723009.62</v>
      </c>
      <c r="I16" s="17">
        <f t="shared" si="4"/>
        <v>774906.04000000015</v>
      </c>
      <c r="J16" s="17">
        <f t="shared" si="4"/>
        <v>698566.13000000012</v>
      </c>
      <c r="K16" s="17">
        <f t="shared" si="4"/>
        <v>733535</v>
      </c>
      <c r="L16" s="17">
        <f t="shared" si="4"/>
        <v>656424.39000000013</v>
      </c>
      <c r="M16" s="17">
        <f t="shared" si="4"/>
        <v>838586.49</v>
      </c>
      <c r="N16" s="17">
        <f t="shared" si="4"/>
        <v>720847.8899999999</v>
      </c>
      <c r="O16" s="17">
        <f t="shared" si="4"/>
        <v>795662.21000000008</v>
      </c>
      <c r="P16" s="17">
        <f t="shared" si="4"/>
        <v>676917.34</v>
      </c>
      <c r="Q16" s="17">
        <f t="shared" si="4"/>
        <v>852809.67</v>
      </c>
      <c r="R16" s="17">
        <f t="shared" si="4"/>
        <v>753514.62</v>
      </c>
      <c r="S16" s="17">
        <f t="shared" si="4"/>
        <v>910041.9</v>
      </c>
      <c r="T16" s="17">
        <f t="shared" si="4"/>
        <v>817404.75</v>
      </c>
      <c r="U16" s="17">
        <f t="shared" si="4"/>
        <v>774084.83000000007</v>
      </c>
      <c r="V16" s="17">
        <f t="shared" si="4"/>
        <v>784027.62000000011</v>
      </c>
      <c r="W16" s="17">
        <f t="shared" si="4"/>
        <v>737238.79</v>
      </c>
      <c r="X16" s="17">
        <f t="shared" si="4"/>
        <v>797950.57000000007</v>
      </c>
      <c r="Y16" s="17">
        <f t="shared" si="4"/>
        <v>889630.94000000018</v>
      </c>
      <c r="Z16" s="17">
        <f t="shared" si="4"/>
        <v>746619.73</v>
      </c>
      <c r="AA16" s="17">
        <f t="shared" si="4"/>
        <v>945849.08</v>
      </c>
      <c r="AB16" s="17">
        <f t="shared" si="4"/>
        <v>723817.21</v>
      </c>
      <c r="AC16" s="17">
        <f t="shared" si="4"/>
        <v>867018.86999999988</v>
      </c>
      <c r="AD16" s="17">
        <f t="shared" si="4"/>
        <v>842885.94</v>
      </c>
      <c r="AE16" s="17">
        <f t="shared" si="4"/>
        <v>933456.19000000006</v>
      </c>
      <c r="AF16" s="17">
        <f t="shared" si="4"/>
        <v>938963.57</v>
      </c>
      <c r="AG16" s="17">
        <f t="shared" si="4"/>
        <v>854722.02</v>
      </c>
      <c r="AH16" s="17">
        <f t="shared" si="4"/>
        <v>788250.86999999988</v>
      </c>
      <c r="AI16" s="17">
        <f t="shared" si="4"/>
        <v>826338.56</v>
      </c>
      <c r="AJ16" s="17">
        <f t="shared" si="0"/>
        <v>8675527.9100000001</v>
      </c>
      <c r="AK16" s="17">
        <f t="shared" si="1"/>
        <v>9535902.9700000007</v>
      </c>
      <c r="AL16" s="17">
        <f t="shared" si="2"/>
        <v>7721302.3100000005</v>
      </c>
    </row>
    <row r="17" spans="1:38" x14ac:dyDescent="0.2">
      <c r="A17" t="s">
        <v>488</v>
      </c>
      <c r="B17" s="8" t="s">
        <v>489</v>
      </c>
      <c r="C17" s="18">
        <v>5463.93</v>
      </c>
      <c r="D17" s="18">
        <v>5113.1000000000004</v>
      </c>
      <c r="E17" s="18">
        <v>3419.33</v>
      </c>
      <c r="F17" s="18">
        <v>2291.56</v>
      </c>
      <c r="G17" s="18">
        <v>3382.22</v>
      </c>
      <c r="H17" s="18">
        <v>3731</v>
      </c>
      <c r="I17" s="18">
        <v>3124.74</v>
      </c>
      <c r="J17" s="18">
        <v>3320.7</v>
      </c>
      <c r="K17" s="18">
        <v>3038.03</v>
      </c>
      <c r="L17" s="18">
        <v>3544.4</v>
      </c>
      <c r="M17" s="18">
        <v>4243.99</v>
      </c>
      <c r="N17" s="18">
        <v>3328.31</v>
      </c>
      <c r="O17" s="18">
        <v>3386.04</v>
      </c>
      <c r="P17" s="18">
        <v>4501.78</v>
      </c>
      <c r="Q17" s="18">
        <v>4401.79</v>
      </c>
      <c r="R17" s="18">
        <v>4886.6499999999996</v>
      </c>
      <c r="S17" s="18">
        <v>5240.55</v>
      </c>
      <c r="T17" s="18">
        <v>3444.07</v>
      </c>
      <c r="U17" s="18">
        <v>6237.67</v>
      </c>
      <c r="V17" s="18">
        <v>3534.02</v>
      </c>
      <c r="W17" s="18">
        <v>3120.67</v>
      </c>
      <c r="X17" s="18">
        <v>4947.76</v>
      </c>
      <c r="Y17" s="18">
        <v>4953.2299999999996</v>
      </c>
      <c r="Z17" s="18">
        <v>4091.09</v>
      </c>
      <c r="AA17" s="18">
        <v>4184.21</v>
      </c>
      <c r="AB17" s="18">
        <v>2422.44</v>
      </c>
      <c r="AC17" s="18">
        <v>4020.86</v>
      </c>
      <c r="AD17" s="18">
        <v>4260.8900000000003</v>
      </c>
      <c r="AE17" s="18">
        <v>5342.11</v>
      </c>
      <c r="AF17" s="18">
        <v>5157.88</v>
      </c>
      <c r="AG17" s="18">
        <v>3575.3</v>
      </c>
      <c r="AH17" s="18">
        <v>4231.93</v>
      </c>
      <c r="AI17" s="18">
        <v>4260.21</v>
      </c>
      <c r="AJ17" s="18">
        <f t="shared" si="0"/>
        <v>44001.31</v>
      </c>
      <c r="AK17" s="18">
        <f t="shared" si="1"/>
        <v>52745.319999999992</v>
      </c>
      <c r="AL17" s="18">
        <f t="shared" si="2"/>
        <v>37455.83</v>
      </c>
    </row>
    <row r="18" spans="1:38" x14ac:dyDescent="0.2">
      <c r="A18" t="s">
        <v>490</v>
      </c>
      <c r="B18" s="8" t="s">
        <v>491</v>
      </c>
      <c r="C18" s="18">
        <v>1074.75</v>
      </c>
      <c r="D18" s="18">
        <v>1844.25</v>
      </c>
      <c r="E18" s="18">
        <v>1846.8</v>
      </c>
      <c r="F18" s="18">
        <v>1924.2</v>
      </c>
      <c r="G18" s="18">
        <v>1548.15</v>
      </c>
      <c r="H18" s="18">
        <v>1647.9</v>
      </c>
      <c r="I18" s="18">
        <v>1105.6500000000001</v>
      </c>
      <c r="J18" s="18">
        <v>1351.95</v>
      </c>
      <c r="K18" s="18">
        <v>1189.6099999999999</v>
      </c>
      <c r="L18" s="18">
        <v>1450.8</v>
      </c>
      <c r="M18" s="18">
        <v>3776.7</v>
      </c>
      <c r="N18" s="18">
        <v>1248.3</v>
      </c>
      <c r="O18" s="18">
        <v>478.2</v>
      </c>
      <c r="P18" s="18">
        <v>249.9</v>
      </c>
      <c r="Q18" s="18">
        <v>420.9</v>
      </c>
      <c r="R18" s="18">
        <v>1350.45</v>
      </c>
      <c r="S18" s="18">
        <v>1650.3</v>
      </c>
      <c r="T18" s="18">
        <v>981.75</v>
      </c>
      <c r="U18" s="18">
        <v>1038.5999999999999</v>
      </c>
      <c r="V18" s="18">
        <v>149.69999999999999</v>
      </c>
      <c r="W18" s="18">
        <v>1270.05</v>
      </c>
      <c r="X18" s="18">
        <v>1329.15</v>
      </c>
      <c r="Y18" s="18">
        <v>1517.25</v>
      </c>
      <c r="Z18" s="18">
        <v>818.1</v>
      </c>
      <c r="AA18" s="18">
        <v>0</v>
      </c>
      <c r="AB18" s="18">
        <v>232.35</v>
      </c>
      <c r="AC18" s="18">
        <v>1291.95</v>
      </c>
      <c r="AD18" s="18">
        <v>404.7</v>
      </c>
      <c r="AE18" s="18">
        <v>1323.86</v>
      </c>
      <c r="AF18" s="18">
        <v>2110.0500000000002</v>
      </c>
      <c r="AG18" s="18">
        <v>511.65</v>
      </c>
      <c r="AH18" s="18">
        <v>2533.9499999999998</v>
      </c>
      <c r="AI18" s="18">
        <v>2162.6999999999998</v>
      </c>
      <c r="AJ18" s="18">
        <f t="shared" si="0"/>
        <v>20009.059999999998</v>
      </c>
      <c r="AK18" s="18">
        <f t="shared" si="1"/>
        <v>11254.35</v>
      </c>
      <c r="AL18" s="18">
        <f t="shared" si="2"/>
        <v>10571.21</v>
      </c>
    </row>
    <row r="19" spans="1:38" x14ac:dyDescent="0.2">
      <c r="A19" t="s">
        <v>492</v>
      </c>
      <c r="B19" s="8" t="s">
        <v>493</v>
      </c>
      <c r="C19" s="18">
        <v>2347.59</v>
      </c>
      <c r="D19" s="18">
        <v>4157.3500000000004</v>
      </c>
      <c r="E19" s="18">
        <v>2510.61</v>
      </c>
      <c r="F19" s="18">
        <v>7800.27</v>
      </c>
      <c r="G19" s="18">
        <v>3906.42</v>
      </c>
      <c r="H19" s="18">
        <v>3188.85</v>
      </c>
      <c r="I19" s="18">
        <v>1391.96</v>
      </c>
      <c r="J19" s="18">
        <v>1823.24</v>
      </c>
      <c r="K19" s="18">
        <v>611.53</v>
      </c>
      <c r="L19" s="18">
        <v>736.53</v>
      </c>
      <c r="M19" s="18">
        <v>0</v>
      </c>
      <c r="N19" s="18">
        <v>4993.2299999999996</v>
      </c>
      <c r="O19" s="18">
        <v>4423.63</v>
      </c>
      <c r="P19" s="18">
        <v>590.35</v>
      </c>
      <c r="Q19" s="18">
        <v>645.19000000000005</v>
      </c>
      <c r="R19" s="18">
        <v>4970.8900000000003</v>
      </c>
      <c r="S19" s="18">
        <v>0</v>
      </c>
      <c r="T19" s="18">
        <v>551.66999999999996</v>
      </c>
      <c r="U19" s="18">
        <v>0</v>
      </c>
      <c r="V19" s="18">
        <v>6714.66</v>
      </c>
      <c r="W19" s="18">
        <v>5163.75</v>
      </c>
      <c r="X19" s="18">
        <v>1569.97</v>
      </c>
      <c r="Y19" s="18">
        <v>3742.16</v>
      </c>
      <c r="Z19" s="18">
        <v>4547.3100000000004</v>
      </c>
      <c r="AA19" s="18">
        <v>1399.81</v>
      </c>
      <c r="AB19" s="18">
        <v>2683.72</v>
      </c>
      <c r="AC19" s="18">
        <v>2801.66</v>
      </c>
      <c r="AD19" s="18">
        <v>2812.04</v>
      </c>
      <c r="AE19" s="18">
        <v>1073.53</v>
      </c>
      <c r="AF19" s="18">
        <v>805.77</v>
      </c>
      <c r="AG19" s="18">
        <v>2421.86</v>
      </c>
      <c r="AH19" s="18">
        <v>753.21</v>
      </c>
      <c r="AI19" s="18">
        <v>941.48</v>
      </c>
      <c r="AJ19" s="18">
        <f t="shared" si="0"/>
        <v>33467.579999999994</v>
      </c>
      <c r="AK19" s="18">
        <f t="shared" si="1"/>
        <v>32919.58</v>
      </c>
      <c r="AL19" s="18">
        <f t="shared" si="2"/>
        <v>15693.080000000002</v>
      </c>
    </row>
    <row r="20" spans="1:38" x14ac:dyDescent="0.2">
      <c r="A20" s="16" t="s">
        <v>209</v>
      </c>
      <c r="B20" s="16" t="s">
        <v>208</v>
      </c>
      <c r="C20" s="17">
        <f t="shared" ref="C20:AI20" si="5">C16+C17+C18+C19</f>
        <v>896936.69</v>
      </c>
      <c r="D20" s="17">
        <f t="shared" si="5"/>
        <v>638099.62999999989</v>
      </c>
      <c r="E20" s="17">
        <f t="shared" si="5"/>
        <v>673140.89</v>
      </c>
      <c r="F20" s="17">
        <f t="shared" si="5"/>
        <v>631038.02000000014</v>
      </c>
      <c r="G20" s="17">
        <f t="shared" si="5"/>
        <v>739067.65</v>
      </c>
      <c r="H20" s="17">
        <f t="shared" si="5"/>
        <v>731577.37</v>
      </c>
      <c r="I20" s="17">
        <f t="shared" si="5"/>
        <v>780528.39000000013</v>
      </c>
      <c r="J20" s="17">
        <f t="shared" si="5"/>
        <v>705062.02</v>
      </c>
      <c r="K20" s="17">
        <f t="shared" si="5"/>
        <v>738374.17</v>
      </c>
      <c r="L20" s="17">
        <f t="shared" si="5"/>
        <v>662156.12000000023</v>
      </c>
      <c r="M20" s="17">
        <f t="shared" si="5"/>
        <v>846607.17999999993</v>
      </c>
      <c r="N20" s="17">
        <f t="shared" si="5"/>
        <v>730417.73</v>
      </c>
      <c r="O20" s="17">
        <f t="shared" si="5"/>
        <v>803950.08000000007</v>
      </c>
      <c r="P20" s="17">
        <f t="shared" si="5"/>
        <v>682259.37</v>
      </c>
      <c r="Q20" s="17">
        <f t="shared" si="5"/>
        <v>858277.55</v>
      </c>
      <c r="R20" s="17">
        <f t="shared" si="5"/>
        <v>764722.61</v>
      </c>
      <c r="S20" s="17">
        <f t="shared" si="5"/>
        <v>916932.75000000012</v>
      </c>
      <c r="T20" s="17">
        <f t="shared" si="5"/>
        <v>822382.24</v>
      </c>
      <c r="U20" s="17">
        <f t="shared" si="5"/>
        <v>781361.10000000009</v>
      </c>
      <c r="V20" s="17">
        <f t="shared" si="5"/>
        <v>794426.00000000012</v>
      </c>
      <c r="W20" s="17">
        <f t="shared" si="5"/>
        <v>746793.26000000013</v>
      </c>
      <c r="X20" s="17">
        <f t="shared" si="5"/>
        <v>805797.45000000007</v>
      </c>
      <c r="Y20" s="17">
        <f t="shared" si="5"/>
        <v>899843.58000000019</v>
      </c>
      <c r="Z20" s="17">
        <f t="shared" si="5"/>
        <v>756076.23</v>
      </c>
      <c r="AA20" s="17">
        <f t="shared" si="5"/>
        <v>951433.1</v>
      </c>
      <c r="AB20" s="17">
        <f t="shared" si="5"/>
        <v>729155.71999999986</v>
      </c>
      <c r="AC20" s="17">
        <f t="shared" si="5"/>
        <v>875133.33999999985</v>
      </c>
      <c r="AD20" s="17">
        <f t="shared" si="5"/>
        <v>850363.57</v>
      </c>
      <c r="AE20" s="17">
        <f t="shared" si="5"/>
        <v>941195.69000000006</v>
      </c>
      <c r="AF20" s="17">
        <f t="shared" si="5"/>
        <v>947037.27</v>
      </c>
      <c r="AG20" s="17">
        <f t="shared" si="5"/>
        <v>861230.83000000007</v>
      </c>
      <c r="AH20" s="17">
        <f t="shared" si="5"/>
        <v>795769.95999999985</v>
      </c>
      <c r="AI20" s="17">
        <f t="shared" si="5"/>
        <v>833702.95</v>
      </c>
      <c r="AJ20" s="17">
        <f t="shared" si="0"/>
        <v>8773005.8599999994</v>
      </c>
      <c r="AK20" s="17">
        <f t="shared" si="1"/>
        <v>9632822.2200000007</v>
      </c>
      <c r="AL20" s="17">
        <f t="shared" si="2"/>
        <v>7785022.4299999997</v>
      </c>
    </row>
    <row r="21" spans="1:38" x14ac:dyDescent="0.2">
      <c r="A21" t="s">
        <v>211</v>
      </c>
      <c r="B21" s="8" t="s">
        <v>210</v>
      </c>
      <c r="C21" s="18">
        <v>-500305.82</v>
      </c>
      <c r="D21" s="18">
        <v>-348579.54</v>
      </c>
      <c r="E21" s="18">
        <v>-361291.02</v>
      </c>
      <c r="F21" s="18">
        <v>-332641.15000000002</v>
      </c>
      <c r="G21" s="18">
        <v>-391845.69</v>
      </c>
      <c r="H21" s="18">
        <v>-388737.05</v>
      </c>
      <c r="I21" s="18">
        <v>-422202.79</v>
      </c>
      <c r="J21" s="18">
        <v>-375732.69</v>
      </c>
      <c r="K21" s="18">
        <v>-406850.94</v>
      </c>
      <c r="L21" s="18">
        <v>-355686.24</v>
      </c>
      <c r="M21" s="18">
        <v>-454400.11</v>
      </c>
      <c r="N21" s="18">
        <v>-400268.67</v>
      </c>
      <c r="O21" s="18">
        <v>-451878.83</v>
      </c>
      <c r="P21" s="18">
        <v>-375973.14</v>
      </c>
      <c r="Q21" s="18">
        <v>-468732.17</v>
      </c>
      <c r="R21" s="18">
        <v>-406476.2</v>
      </c>
      <c r="S21" s="18">
        <v>-492911.17</v>
      </c>
      <c r="T21" s="18">
        <v>-441809.85</v>
      </c>
      <c r="U21" s="18">
        <v>-418540.4</v>
      </c>
      <c r="V21" s="18">
        <v>-424520.78</v>
      </c>
      <c r="W21" s="18">
        <v>-401227.62</v>
      </c>
      <c r="X21" s="18">
        <v>-429367.43</v>
      </c>
      <c r="Y21" s="18">
        <v>-476807.05</v>
      </c>
      <c r="Z21" s="18">
        <v>-413139.42</v>
      </c>
      <c r="AA21" s="18">
        <v>-537695.99</v>
      </c>
      <c r="AB21" s="18">
        <v>-397270.84</v>
      </c>
      <c r="AC21" s="18">
        <v>-476686.1</v>
      </c>
      <c r="AD21" s="18">
        <v>-460488.98</v>
      </c>
      <c r="AE21" s="18">
        <v>-505092.2</v>
      </c>
      <c r="AF21" s="18">
        <v>-512218.39</v>
      </c>
      <c r="AG21" s="18">
        <v>-466430.8</v>
      </c>
      <c r="AH21" s="18">
        <v>-426240.54</v>
      </c>
      <c r="AI21" s="18">
        <v>-451765.48</v>
      </c>
      <c r="AJ21" s="18">
        <f t="shared" si="0"/>
        <v>-4738541.71</v>
      </c>
      <c r="AK21" s="18">
        <f t="shared" si="1"/>
        <v>-5201384.0599999996</v>
      </c>
      <c r="AL21" s="18">
        <f t="shared" si="2"/>
        <v>-4233889.32</v>
      </c>
    </row>
    <row r="22" spans="1:38" x14ac:dyDescent="0.2">
      <c r="A22" t="s">
        <v>213</v>
      </c>
      <c r="B22" s="8" t="s">
        <v>212</v>
      </c>
      <c r="C22" s="18">
        <v>-17273.64</v>
      </c>
      <c r="D22" s="18">
        <v>-15303.37</v>
      </c>
      <c r="E22" s="18">
        <v>-14546.44</v>
      </c>
      <c r="F22" s="18">
        <v>-15912.17</v>
      </c>
      <c r="G22" s="18">
        <v>-15643.17</v>
      </c>
      <c r="H22" s="18">
        <v>-14206.95</v>
      </c>
      <c r="I22" s="18">
        <v>-15116.86</v>
      </c>
      <c r="J22" s="18">
        <v>-18680.47</v>
      </c>
      <c r="K22" s="18">
        <v>-14047.39</v>
      </c>
      <c r="L22" s="18">
        <v>-15835.59</v>
      </c>
      <c r="M22" s="18">
        <v>-15268.22</v>
      </c>
      <c r="N22" s="18">
        <v>-19108.849999999999</v>
      </c>
      <c r="O22" s="18">
        <v>-18005.240000000002</v>
      </c>
      <c r="P22" s="18">
        <v>-16453.73</v>
      </c>
      <c r="Q22" s="18">
        <v>-22178.18</v>
      </c>
      <c r="R22" s="18">
        <v>-17751.12</v>
      </c>
      <c r="S22" s="18">
        <v>-17698.18</v>
      </c>
      <c r="T22" s="18">
        <v>-16688.77</v>
      </c>
      <c r="U22" s="18">
        <v>-17004.419999999998</v>
      </c>
      <c r="V22" s="18">
        <v>-18656.419999999998</v>
      </c>
      <c r="W22" s="18">
        <v>-18515.349999999999</v>
      </c>
      <c r="X22" s="18">
        <v>-15819.31</v>
      </c>
      <c r="Y22" s="18">
        <v>-18249.23</v>
      </c>
      <c r="Z22" s="18">
        <v>-23461.65</v>
      </c>
      <c r="AA22" s="18">
        <v>-17186.86</v>
      </c>
      <c r="AB22" s="18">
        <v>-19095.25</v>
      </c>
      <c r="AC22" s="18">
        <v>-23366.2</v>
      </c>
      <c r="AD22" s="18">
        <v>-19210.14</v>
      </c>
      <c r="AE22" s="18">
        <v>-19285.560000000001</v>
      </c>
      <c r="AF22" s="18">
        <v>-19569.13</v>
      </c>
      <c r="AG22" s="18">
        <v>-17137.53</v>
      </c>
      <c r="AH22" s="18">
        <v>-21125.64</v>
      </c>
      <c r="AI22" s="18">
        <v>-15968.02</v>
      </c>
      <c r="AJ22" s="18">
        <f t="shared" si="0"/>
        <v>-190943.12000000002</v>
      </c>
      <c r="AK22" s="18">
        <f t="shared" si="1"/>
        <v>-220481.6</v>
      </c>
      <c r="AL22" s="18">
        <f t="shared" si="2"/>
        <v>-171944.33</v>
      </c>
    </row>
    <row r="23" spans="1:38" x14ac:dyDescent="0.2">
      <c r="A23" t="s">
        <v>494</v>
      </c>
      <c r="B23" s="8" t="s">
        <v>214</v>
      </c>
      <c r="C23" s="18">
        <v>-3909.41</v>
      </c>
      <c r="D23" s="18">
        <v>-3369</v>
      </c>
      <c r="E23" s="18">
        <v>-339.45</v>
      </c>
      <c r="F23" s="18">
        <v>-3109.03</v>
      </c>
      <c r="G23" s="18">
        <v>-6853.91</v>
      </c>
      <c r="H23" s="18">
        <v>-552.29999999999995</v>
      </c>
      <c r="I23" s="18">
        <v>-3893.26</v>
      </c>
      <c r="J23" s="18">
        <v>-4778.25</v>
      </c>
      <c r="K23" s="18">
        <v>-5673.85</v>
      </c>
      <c r="L23" s="18">
        <v>-6211.05</v>
      </c>
      <c r="M23" s="18">
        <v>-2506.36</v>
      </c>
      <c r="N23" s="18">
        <v>-8045.08</v>
      </c>
      <c r="O23" s="18">
        <v>-4539.46</v>
      </c>
      <c r="P23" s="18">
        <v>-3313.48</v>
      </c>
      <c r="Q23" s="18">
        <v>-3915.85</v>
      </c>
      <c r="R23" s="18">
        <v>-4782.6400000000003</v>
      </c>
      <c r="S23" s="18">
        <v>-7640.2</v>
      </c>
      <c r="T23" s="18">
        <v>-2255.67</v>
      </c>
      <c r="U23" s="18">
        <v>-3556.69</v>
      </c>
      <c r="V23" s="18">
        <v>-21.4</v>
      </c>
      <c r="W23" s="18">
        <v>-6814.91</v>
      </c>
      <c r="X23" s="18">
        <v>-8837.7800000000007</v>
      </c>
      <c r="Y23" s="18">
        <v>-924.04</v>
      </c>
      <c r="Z23" s="18">
        <v>-6448.41</v>
      </c>
      <c r="AA23" s="18">
        <v>-6627.07</v>
      </c>
      <c r="AB23" s="18">
        <v>-5511.26</v>
      </c>
      <c r="AC23" s="18">
        <v>-2456.5500000000002</v>
      </c>
      <c r="AD23" s="18">
        <v>-5496.08</v>
      </c>
      <c r="AE23" s="18">
        <v>-993.38</v>
      </c>
      <c r="AF23" s="18">
        <v>-6727.03</v>
      </c>
      <c r="AG23" s="18">
        <v>-4095.75</v>
      </c>
      <c r="AH23" s="18">
        <v>-2933.04</v>
      </c>
      <c r="AI23" s="18">
        <v>-8096.9</v>
      </c>
      <c r="AJ23" s="18">
        <f t="shared" si="0"/>
        <v>-49240.950000000004</v>
      </c>
      <c r="AK23" s="18">
        <f t="shared" si="1"/>
        <v>-53050.53</v>
      </c>
      <c r="AL23" s="18">
        <f t="shared" si="2"/>
        <v>-42937.06</v>
      </c>
    </row>
    <row r="24" spans="1:38" x14ac:dyDescent="0.2">
      <c r="A24" s="16" t="s">
        <v>217</v>
      </c>
      <c r="B24" s="16" t="s">
        <v>216</v>
      </c>
      <c r="C24" s="17">
        <f t="shared" ref="C24:AI24" si="6">C21+C22+C23</f>
        <v>-521488.87</v>
      </c>
      <c r="D24" s="17">
        <f t="shared" si="6"/>
        <v>-367251.91</v>
      </c>
      <c r="E24" s="17">
        <f t="shared" si="6"/>
        <v>-376176.91000000003</v>
      </c>
      <c r="F24" s="17">
        <f t="shared" si="6"/>
        <v>-351662.35000000003</v>
      </c>
      <c r="G24" s="17">
        <f t="shared" si="6"/>
        <v>-414342.76999999996</v>
      </c>
      <c r="H24" s="17">
        <f t="shared" si="6"/>
        <v>-403496.3</v>
      </c>
      <c r="I24" s="17">
        <f t="shared" si="6"/>
        <v>-441212.91</v>
      </c>
      <c r="J24" s="17">
        <f t="shared" si="6"/>
        <v>-399191.41000000003</v>
      </c>
      <c r="K24" s="17">
        <f t="shared" si="6"/>
        <v>-426572.18</v>
      </c>
      <c r="L24" s="17">
        <f t="shared" si="6"/>
        <v>-377732.88</v>
      </c>
      <c r="M24" s="17">
        <f t="shared" si="6"/>
        <v>-472174.68999999994</v>
      </c>
      <c r="N24" s="17">
        <f t="shared" si="6"/>
        <v>-427422.6</v>
      </c>
      <c r="O24" s="17">
        <f t="shared" si="6"/>
        <v>-474423.53</v>
      </c>
      <c r="P24" s="17">
        <f t="shared" si="6"/>
        <v>-395740.35</v>
      </c>
      <c r="Q24" s="17">
        <f t="shared" si="6"/>
        <v>-494826.19999999995</v>
      </c>
      <c r="R24" s="17">
        <f t="shared" si="6"/>
        <v>-429009.96</v>
      </c>
      <c r="S24" s="17">
        <f t="shared" si="6"/>
        <v>-518249.55</v>
      </c>
      <c r="T24" s="17">
        <f t="shared" si="6"/>
        <v>-460754.29</v>
      </c>
      <c r="U24" s="17">
        <f t="shared" si="6"/>
        <v>-439101.51</v>
      </c>
      <c r="V24" s="17">
        <f t="shared" si="6"/>
        <v>-443198.60000000003</v>
      </c>
      <c r="W24" s="17">
        <f t="shared" si="6"/>
        <v>-426557.87999999995</v>
      </c>
      <c r="X24" s="17">
        <f t="shared" si="6"/>
        <v>-454024.52</v>
      </c>
      <c r="Y24" s="17">
        <f t="shared" si="6"/>
        <v>-495980.31999999995</v>
      </c>
      <c r="Z24" s="17">
        <f t="shared" si="6"/>
        <v>-443049.48</v>
      </c>
      <c r="AA24" s="17">
        <f t="shared" si="6"/>
        <v>-561509.91999999993</v>
      </c>
      <c r="AB24" s="17">
        <f t="shared" si="6"/>
        <v>-421877.35000000003</v>
      </c>
      <c r="AC24" s="17">
        <f t="shared" si="6"/>
        <v>-502508.85</v>
      </c>
      <c r="AD24" s="17">
        <f t="shared" si="6"/>
        <v>-485195.2</v>
      </c>
      <c r="AE24" s="17">
        <f t="shared" si="6"/>
        <v>-525371.14</v>
      </c>
      <c r="AF24" s="17">
        <f t="shared" si="6"/>
        <v>-538514.55000000005</v>
      </c>
      <c r="AG24" s="17">
        <f t="shared" si="6"/>
        <v>-487664.07999999996</v>
      </c>
      <c r="AH24" s="17">
        <f t="shared" si="6"/>
        <v>-450299.22</v>
      </c>
      <c r="AI24" s="17">
        <f t="shared" si="6"/>
        <v>-475830.4</v>
      </c>
      <c r="AJ24" s="17">
        <f t="shared" si="0"/>
        <v>-4978725.7799999993</v>
      </c>
      <c r="AK24" s="17">
        <f t="shared" si="1"/>
        <v>-5474916.1899999995</v>
      </c>
      <c r="AL24" s="17">
        <f t="shared" si="2"/>
        <v>-4448770.71</v>
      </c>
    </row>
    <row r="25" spans="1:38" x14ac:dyDescent="0.2">
      <c r="A25" s="16" t="s">
        <v>219</v>
      </c>
      <c r="B25" s="16" t="s">
        <v>218</v>
      </c>
      <c r="C25" s="17">
        <f t="shared" ref="C25:AI25" si="7">C20+C24</f>
        <v>375447.81999999995</v>
      </c>
      <c r="D25" s="17">
        <f t="shared" si="7"/>
        <v>270847.71999999991</v>
      </c>
      <c r="E25" s="17">
        <f t="shared" si="7"/>
        <v>296963.98</v>
      </c>
      <c r="F25" s="17">
        <f t="shared" si="7"/>
        <v>279375.6700000001</v>
      </c>
      <c r="G25" s="17">
        <f t="shared" si="7"/>
        <v>324724.88000000006</v>
      </c>
      <c r="H25" s="17">
        <f t="shared" si="7"/>
        <v>328081.07</v>
      </c>
      <c r="I25" s="17">
        <f t="shared" si="7"/>
        <v>339315.48000000016</v>
      </c>
      <c r="J25" s="17">
        <f t="shared" si="7"/>
        <v>305870.61</v>
      </c>
      <c r="K25" s="17">
        <f t="shared" si="7"/>
        <v>311801.99000000005</v>
      </c>
      <c r="L25" s="17">
        <f t="shared" si="7"/>
        <v>284423.24000000022</v>
      </c>
      <c r="M25" s="17">
        <f t="shared" si="7"/>
        <v>374432.49</v>
      </c>
      <c r="N25" s="17">
        <f t="shared" si="7"/>
        <v>302995.13</v>
      </c>
      <c r="O25" s="17">
        <f t="shared" si="7"/>
        <v>329526.55000000005</v>
      </c>
      <c r="P25" s="17">
        <f t="shared" si="7"/>
        <v>286519.02</v>
      </c>
      <c r="Q25" s="17">
        <f t="shared" si="7"/>
        <v>363451.35000000009</v>
      </c>
      <c r="R25" s="17">
        <f t="shared" si="7"/>
        <v>335712.64999999997</v>
      </c>
      <c r="S25" s="17">
        <f t="shared" si="7"/>
        <v>398683.20000000013</v>
      </c>
      <c r="T25" s="17">
        <f t="shared" si="7"/>
        <v>361627.95</v>
      </c>
      <c r="U25" s="17">
        <f t="shared" si="7"/>
        <v>342259.59000000008</v>
      </c>
      <c r="V25" s="17">
        <f t="shared" si="7"/>
        <v>351227.40000000008</v>
      </c>
      <c r="W25" s="17">
        <f t="shared" si="7"/>
        <v>320235.38000000018</v>
      </c>
      <c r="X25" s="17">
        <f t="shared" si="7"/>
        <v>351772.93000000005</v>
      </c>
      <c r="Y25" s="17">
        <f t="shared" si="7"/>
        <v>403863.26000000024</v>
      </c>
      <c r="Z25" s="17">
        <f t="shared" si="7"/>
        <v>313026.75</v>
      </c>
      <c r="AA25" s="17">
        <f t="shared" si="7"/>
        <v>389923.18000000005</v>
      </c>
      <c r="AB25" s="17">
        <f t="shared" si="7"/>
        <v>307278.36999999982</v>
      </c>
      <c r="AC25" s="17">
        <f t="shared" si="7"/>
        <v>372624.48999999987</v>
      </c>
      <c r="AD25" s="17">
        <f t="shared" si="7"/>
        <v>365168.36999999994</v>
      </c>
      <c r="AE25" s="17">
        <f t="shared" si="7"/>
        <v>415824.55000000005</v>
      </c>
      <c r="AF25" s="17">
        <f t="shared" si="7"/>
        <v>408522.72</v>
      </c>
      <c r="AG25" s="17">
        <f t="shared" si="7"/>
        <v>373566.75000000012</v>
      </c>
      <c r="AH25" s="17">
        <f t="shared" si="7"/>
        <v>345470.73999999987</v>
      </c>
      <c r="AI25" s="17">
        <f t="shared" si="7"/>
        <v>357872.54999999993</v>
      </c>
      <c r="AJ25" s="17">
        <f t="shared" si="0"/>
        <v>3794280.08</v>
      </c>
      <c r="AK25" s="17">
        <f t="shared" si="1"/>
        <v>4157906.0300000012</v>
      </c>
      <c r="AL25" s="17">
        <f t="shared" si="2"/>
        <v>3336251.7199999993</v>
      </c>
    </row>
    <row r="26" spans="1:38" x14ac:dyDescent="0.2">
      <c r="A26" t="s">
        <v>495</v>
      </c>
      <c r="B26" s="8" t="s">
        <v>220</v>
      </c>
      <c r="C26" s="18">
        <v>-123747.89</v>
      </c>
      <c r="D26" s="18">
        <v>-114225.96</v>
      </c>
      <c r="E26" s="18">
        <v>-120999.72</v>
      </c>
      <c r="F26" s="18">
        <v>-126471.44</v>
      </c>
      <c r="G26" s="18">
        <v>-126795.76</v>
      </c>
      <c r="H26" s="18">
        <v>-121660.36</v>
      </c>
      <c r="I26" s="18">
        <v>-124959.06</v>
      </c>
      <c r="J26" s="18">
        <v>-126338.93</v>
      </c>
      <c r="K26" s="18">
        <v>-121145.14</v>
      </c>
      <c r="L26" s="18">
        <v>-124347.01</v>
      </c>
      <c r="M26" s="18">
        <v>-127133.24</v>
      </c>
      <c r="N26" s="18">
        <v>-118083.22</v>
      </c>
      <c r="O26" s="18">
        <v>-132297.60000000001</v>
      </c>
      <c r="P26" s="18">
        <v>-119493.58</v>
      </c>
      <c r="Q26" s="18">
        <v>-130879.13</v>
      </c>
      <c r="R26" s="18">
        <v>-133757.97</v>
      </c>
      <c r="S26" s="18">
        <v>-135845.85999999999</v>
      </c>
      <c r="T26" s="18">
        <v>-126604.34</v>
      </c>
      <c r="U26" s="18">
        <v>-127384.65</v>
      </c>
      <c r="V26" s="18">
        <v>-132277.03</v>
      </c>
      <c r="W26" s="18">
        <v>-133097.91</v>
      </c>
      <c r="X26" s="18">
        <v>-134272.23000000001</v>
      </c>
      <c r="Y26" s="18">
        <v>-133879.26</v>
      </c>
      <c r="Z26" s="18">
        <v>-129735.84</v>
      </c>
      <c r="AA26" s="18">
        <v>-142946.56</v>
      </c>
      <c r="AB26" s="18">
        <v>-127512.49</v>
      </c>
      <c r="AC26" s="18">
        <v>-139597.94</v>
      </c>
      <c r="AD26" s="18">
        <v>-134543.29999999999</v>
      </c>
      <c r="AE26" s="18">
        <v>-137660.12</v>
      </c>
      <c r="AF26" s="18">
        <v>-136075.14000000001</v>
      </c>
      <c r="AG26" s="18">
        <v>-137731.68</v>
      </c>
      <c r="AH26" s="18">
        <v>-137586.75</v>
      </c>
      <c r="AI26" s="18">
        <v>-136172.01</v>
      </c>
      <c r="AJ26" s="18">
        <f t="shared" si="0"/>
        <v>-1475907.7299999997</v>
      </c>
      <c r="AK26" s="18">
        <f t="shared" si="1"/>
        <v>-1569525.4000000001</v>
      </c>
      <c r="AL26" s="18">
        <f t="shared" si="2"/>
        <v>-1229825.99</v>
      </c>
    </row>
    <row r="27" spans="1:38" x14ac:dyDescent="0.2">
      <c r="A27" t="s">
        <v>496</v>
      </c>
      <c r="B27" s="8" t="s">
        <v>222</v>
      </c>
      <c r="C27" s="18">
        <v>-65273.57</v>
      </c>
      <c r="D27" s="18">
        <v>-64221.53</v>
      </c>
      <c r="E27" s="18">
        <v>-63174.93</v>
      </c>
      <c r="F27" s="18">
        <v>-61946.11</v>
      </c>
      <c r="G27" s="18">
        <v>-61647.62</v>
      </c>
      <c r="H27" s="18">
        <v>-60645.2</v>
      </c>
      <c r="I27" s="18">
        <v>-59691.67</v>
      </c>
      <c r="J27" s="18">
        <v>-59909.13</v>
      </c>
      <c r="K27" s="18">
        <v>-60902.54</v>
      </c>
      <c r="L27" s="18">
        <v>-62517.13</v>
      </c>
      <c r="M27" s="18">
        <v>-63239.98</v>
      </c>
      <c r="N27" s="18">
        <v>-64395.31</v>
      </c>
      <c r="O27" s="18">
        <v>-66543.28</v>
      </c>
      <c r="P27" s="18">
        <v>-65915.14</v>
      </c>
      <c r="Q27" s="18">
        <v>-64872.41</v>
      </c>
      <c r="R27" s="18">
        <v>-63508.33</v>
      </c>
      <c r="S27" s="18">
        <v>-62994.37</v>
      </c>
      <c r="T27" s="18">
        <v>-61537.26</v>
      </c>
      <c r="U27" s="18">
        <v>-60923.5</v>
      </c>
      <c r="V27" s="18">
        <v>-61803.17</v>
      </c>
      <c r="W27" s="18">
        <v>-62476.21</v>
      </c>
      <c r="X27" s="18">
        <v>-63617.82</v>
      </c>
      <c r="Y27" s="18">
        <v>-64433.11</v>
      </c>
      <c r="Z27" s="18">
        <v>-65703.62</v>
      </c>
      <c r="AA27" s="18">
        <v>-67790.22</v>
      </c>
      <c r="AB27" s="18">
        <v>-66684.52</v>
      </c>
      <c r="AC27" s="18">
        <v>-65994.63</v>
      </c>
      <c r="AD27" s="18">
        <v>-64996.87</v>
      </c>
      <c r="AE27" s="18">
        <v>-64551.13</v>
      </c>
      <c r="AF27" s="18">
        <v>-62985.42</v>
      </c>
      <c r="AG27" s="18">
        <v>-62569.29</v>
      </c>
      <c r="AH27" s="18">
        <v>-63283.94</v>
      </c>
      <c r="AI27" s="18">
        <v>-64084.51</v>
      </c>
      <c r="AJ27" s="18">
        <f t="shared" si="0"/>
        <v>-747564.72</v>
      </c>
      <c r="AK27" s="18">
        <f t="shared" si="1"/>
        <v>-764328.21999999986</v>
      </c>
      <c r="AL27" s="18">
        <f t="shared" si="2"/>
        <v>-582940.52999999991</v>
      </c>
    </row>
    <row r="28" spans="1:38" x14ac:dyDescent="0.2">
      <c r="A28" t="s">
        <v>225</v>
      </c>
      <c r="B28" s="8" t="s">
        <v>224</v>
      </c>
      <c r="C28" s="18">
        <v>-48733.99</v>
      </c>
      <c r="D28" s="18">
        <v>-32821.360000000001</v>
      </c>
      <c r="E28" s="18">
        <v>-23423.82</v>
      </c>
      <c r="F28" s="18">
        <v>-35604.519999999997</v>
      </c>
      <c r="G28" s="18">
        <v>-43873.62</v>
      </c>
      <c r="H28" s="18">
        <v>-34223.339999999997</v>
      </c>
      <c r="I28" s="18">
        <v>-28254.25</v>
      </c>
      <c r="J28" s="18">
        <v>-31100.28</v>
      </c>
      <c r="K28" s="18">
        <v>-46297.43</v>
      </c>
      <c r="L28" s="18">
        <v>-46991.81</v>
      </c>
      <c r="M28" s="18">
        <v>-43140.87</v>
      </c>
      <c r="N28" s="18">
        <v>-39272.49</v>
      </c>
      <c r="O28" s="18">
        <v>-39436.99</v>
      </c>
      <c r="P28" s="18">
        <v>-40341.65</v>
      </c>
      <c r="Q28" s="18">
        <v>-25322.5</v>
      </c>
      <c r="R28" s="18">
        <v>-50419.79</v>
      </c>
      <c r="S28" s="18">
        <v>-48282.39</v>
      </c>
      <c r="T28" s="18">
        <v>-43261.63</v>
      </c>
      <c r="U28" s="18">
        <v>-30350.12</v>
      </c>
      <c r="V28" s="18">
        <v>-30307.3</v>
      </c>
      <c r="W28" s="18">
        <v>-47609.279999999999</v>
      </c>
      <c r="X28" s="18">
        <v>-47533.51</v>
      </c>
      <c r="Y28" s="18">
        <v>-48842.69</v>
      </c>
      <c r="Z28" s="18">
        <v>-46506.29</v>
      </c>
      <c r="AA28" s="18">
        <v>-47859.98</v>
      </c>
      <c r="AB28" s="18">
        <v>-48205.19</v>
      </c>
      <c r="AC28" s="18">
        <v>-26707.68</v>
      </c>
      <c r="AD28" s="18">
        <v>-54305.57</v>
      </c>
      <c r="AE28" s="18">
        <v>-47808.85</v>
      </c>
      <c r="AF28" s="18">
        <v>-40697.15</v>
      </c>
      <c r="AG28" s="18">
        <v>-32883.08</v>
      </c>
      <c r="AH28" s="18">
        <v>-37623.379999999997</v>
      </c>
      <c r="AI28" s="18">
        <v>-45007.95</v>
      </c>
      <c r="AJ28" s="18">
        <f t="shared" si="0"/>
        <v>-453737.77999999997</v>
      </c>
      <c r="AK28" s="18">
        <f t="shared" si="1"/>
        <v>-498214.14</v>
      </c>
      <c r="AL28" s="18">
        <f t="shared" si="2"/>
        <v>-381098.83000000007</v>
      </c>
    </row>
    <row r="29" spans="1:38" x14ac:dyDescent="0.2">
      <c r="A29" t="s">
        <v>168</v>
      </c>
      <c r="B29" s="8" t="s">
        <v>226</v>
      </c>
      <c r="C29" s="18">
        <v>-16293.28</v>
      </c>
      <c r="D29" s="18">
        <v>-16156.75</v>
      </c>
      <c r="E29" s="18">
        <v>-16495.13</v>
      </c>
      <c r="F29" s="18">
        <v>-16007.81</v>
      </c>
      <c r="G29" s="18">
        <v>-16547.12</v>
      </c>
      <c r="H29" s="18">
        <v>-15219.28</v>
      </c>
      <c r="I29" s="18">
        <v>-16978.11</v>
      </c>
      <c r="J29" s="18">
        <v>-16107.1</v>
      </c>
      <c r="K29" s="18">
        <v>-16081.98</v>
      </c>
      <c r="L29" s="18">
        <v>-16782.96</v>
      </c>
      <c r="M29" s="18">
        <v>-16585.39</v>
      </c>
      <c r="N29" s="18">
        <v>-16780.64</v>
      </c>
      <c r="O29" s="18">
        <v>-16310.1</v>
      </c>
      <c r="P29" s="18">
        <v>-17095.88</v>
      </c>
      <c r="Q29" s="18">
        <v>-17111.71</v>
      </c>
      <c r="R29" s="18">
        <v>-17109.07</v>
      </c>
      <c r="S29" s="18">
        <v>-17246</v>
      </c>
      <c r="T29" s="18">
        <v>-16470.7</v>
      </c>
      <c r="U29" s="18">
        <v>-16974.599999999999</v>
      </c>
      <c r="V29" s="18">
        <v>-16321.72</v>
      </c>
      <c r="W29" s="18">
        <v>-16650.560000000001</v>
      </c>
      <c r="X29" s="18">
        <v>-16561.759999999998</v>
      </c>
      <c r="Y29" s="18">
        <v>-15830.91</v>
      </c>
      <c r="Z29" s="18">
        <v>-16735.240000000002</v>
      </c>
      <c r="AA29" s="18">
        <v>-16573.43</v>
      </c>
      <c r="AB29" s="18">
        <v>-16763.330000000002</v>
      </c>
      <c r="AC29" s="18">
        <v>-16563.96</v>
      </c>
      <c r="AD29" s="18">
        <v>-16678.669999999998</v>
      </c>
      <c r="AE29" s="18">
        <v>-16572.77</v>
      </c>
      <c r="AF29" s="18">
        <v>-17167.009999999998</v>
      </c>
      <c r="AG29" s="18">
        <v>-17604.009999999998</v>
      </c>
      <c r="AH29" s="18">
        <v>-17464.29</v>
      </c>
      <c r="AI29" s="18">
        <v>-17975.18</v>
      </c>
      <c r="AJ29" s="18">
        <f t="shared" si="0"/>
        <v>-196035.55</v>
      </c>
      <c r="AK29" s="18">
        <f t="shared" si="1"/>
        <v>-200418.25</v>
      </c>
      <c r="AL29" s="18">
        <f t="shared" si="2"/>
        <v>-153362.65</v>
      </c>
    </row>
    <row r="30" spans="1:38" x14ac:dyDescent="0.2">
      <c r="A30" t="s">
        <v>170</v>
      </c>
      <c r="B30" s="8" t="s">
        <v>228</v>
      </c>
      <c r="C30" s="18">
        <v>-6489.04</v>
      </c>
      <c r="D30" s="18">
        <v>-5852.08</v>
      </c>
      <c r="E30" s="18">
        <v>-6681.79</v>
      </c>
      <c r="F30" s="18">
        <v>-6002.37</v>
      </c>
      <c r="G30" s="18">
        <v>-7201.6</v>
      </c>
      <c r="H30" s="18">
        <v>-5732.8</v>
      </c>
      <c r="I30" s="18">
        <v>-5641.13</v>
      </c>
      <c r="J30" s="18">
        <v>-5622.62</v>
      </c>
      <c r="K30" s="18">
        <v>-6056.78</v>
      </c>
      <c r="L30" s="18">
        <v>-6449.78</v>
      </c>
      <c r="M30" s="18">
        <v>-6729.74</v>
      </c>
      <c r="N30" s="18">
        <v>-6903.8</v>
      </c>
      <c r="O30" s="18">
        <v>-7325.9</v>
      </c>
      <c r="P30" s="18">
        <v>-6191.32</v>
      </c>
      <c r="Q30" s="18">
        <v>-6601.13</v>
      </c>
      <c r="R30" s="18">
        <v>-6733.02</v>
      </c>
      <c r="S30" s="18">
        <v>-6535.64</v>
      </c>
      <c r="T30" s="18">
        <v>-6610.3</v>
      </c>
      <c r="U30" s="18">
        <v>-6450.21</v>
      </c>
      <c r="V30" s="18">
        <v>-6886.73</v>
      </c>
      <c r="W30" s="18">
        <v>-6912.28</v>
      </c>
      <c r="X30" s="18">
        <v>-7025.45</v>
      </c>
      <c r="Y30" s="18">
        <v>-7034.29</v>
      </c>
      <c r="Z30" s="18">
        <v>-6534.2</v>
      </c>
      <c r="AA30" s="18">
        <v>-7659.74</v>
      </c>
      <c r="AB30" s="18">
        <v>-7019.83</v>
      </c>
      <c r="AC30" s="18">
        <v>-6365.9</v>
      </c>
      <c r="AD30" s="18">
        <v>-6763.94</v>
      </c>
      <c r="AE30" s="18">
        <v>-6858.05</v>
      </c>
      <c r="AF30" s="18">
        <v>-6599.61</v>
      </c>
      <c r="AG30" s="18">
        <v>-6564.53</v>
      </c>
      <c r="AH30" s="18">
        <v>-6999.28</v>
      </c>
      <c r="AI30" s="18">
        <v>-7893.19</v>
      </c>
      <c r="AJ30" s="18">
        <f t="shared" si="0"/>
        <v>-75363.53</v>
      </c>
      <c r="AK30" s="18">
        <f t="shared" si="1"/>
        <v>-80840.469999999987</v>
      </c>
      <c r="AL30" s="18">
        <f t="shared" si="2"/>
        <v>-62724.07</v>
      </c>
    </row>
    <row r="31" spans="1:38" x14ac:dyDescent="0.2">
      <c r="A31" t="s">
        <v>230</v>
      </c>
      <c r="B31" s="8" t="s">
        <v>229</v>
      </c>
      <c r="C31" s="18">
        <v>-20003.86</v>
      </c>
      <c r="D31" s="18">
        <v>-15003.29</v>
      </c>
      <c r="E31" s="18">
        <v>-15131.27</v>
      </c>
      <c r="F31" s="18">
        <v>-14624.1</v>
      </c>
      <c r="G31" s="18">
        <v>-15118.41</v>
      </c>
      <c r="H31" s="18">
        <v>-15326.03</v>
      </c>
      <c r="I31" s="18">
        <v>-16458.45</v>
      </c>
      <c r="J31" s="18">
        <v>-18280.75</v>
      </c>
      <c r="K31" s="18">
        <v>-18902.79</v>
      </c>
      <c r="L31" s="18">
        <v>-14626.79</v>
      </c>
      <c r="M31" s="18">
        <v>-20499.28</v>
      </c>
      <c r="N31" s="18">
        <v>-15489.71</v>
      </c>
      <c r="O31" s="18">
        <v>-19574.54</v>
      </c>
      <c r="P31" s="18">
        <v>-16342.69</v>
      </c>
      <c r="Q31" s="18">
        <v>-20498.43</v>
      </c>
      <c r="R31" s="18">
        <v>-19611.45</v>
      </c>
      <c r="S31" s="18">
        <v>-21544.89</v>
      </c>
      <c r="T31" s="18">
        <v>-18597.14</v>
      </c>
      <c r="U31" s="18">
        <v>-16899.32</v>
      </c>
      <c r="V31" s="18">
        <v>-17665.98</v>
      </c>
      <c r="W31" s="18">
        <v>-17559.66</v>
      </c>
      <c r="X31" s="18">
        <v>-19946.349999999999</v>
      </c>
      <c r="Y31" s="18">
        <v>-21487.29</v>
      </c>
      <c r="Z31" s="18">
        <v>-19273.34</v>
      </c>
      <c r="AA31" s="18">
        <v>-22543.56</v>
      </c>
      <c r="AB31" s="18">
        <v>-15751.79</v>
      </c>
      <c r="AC31" s="18">
        <v>-21599.94</v>
      </c>
      <c r="AD31" s="18">
        <v>-20414.57</v>
      </c>
      <c r="AE31" s="18">
        <v>-22534.95</v>
      </c>
      <c r="AF31" s="18">
        <v>-20158.71</v>
      </c>
      <c r="AG31" s="18">
        <v>-20624.37</v>
      </c>
      <c r="AH31" s="18">
        <v>-18151.28</v>
      </c>
      <c r="AI31" s="18">
        <v>-22556.2</v>
      </c>
      <c r="AJ31" s="18">
        <f t="shared" si="0"/>
        <v>-199464.72999999998</v>
      </c>
      <c r="AK31" s="18">
        <f t="shared" si="1"/>
        <v>-229001.08000000002</v>
      </c>
      <c r="AL31" s="18">
        <f t="shared" si="2"/>
        <v>-184335.37000000002</v>
      </c>
    </row>
    <row r="32" spans="1:38" x14ac:dyDescent="0.2">
      <c r="A32" s="16" t="s">
        <v>232</v>
      </c>
      <c r="B32" s="16" t="s">
        <v>231</v>
      </c>
      <c r="C32" s="17">
        <f t="shared" ref="C32:AI32" si="8">C26+C27+C28+C29+C30+C31</f>
        <v>-280541.63</v>
      </c>
      <c r="D32" s="17">
        <f t="shared" si="8"/>
        <v>-248280.96999999997</v>
      </c>
      <c r="E32" s="17">
        <f t="shared" si="8"/>
        <v>-245906.66</v>
      </c>
      <c r="F32" s="17">
        <f t="shared" si="8"/>
        <v>-260656.34999999998</v>
      </c>
      <c r="G32" s="17">
        <f t="shared" si="8"/>
        <v>-271184.13</v>
      </c>
      <c r="H32" s="17">
        <f t="shared" si="8"/>
        <v>-252807.00999999998</v>
      </c>
      <c r="I32" s="17">
        <f t="shared" si="8"/>
        <v>-251982.66999999998</v>
      </c>
      <c r="J32" s="17">
        <f t="shared" si="8"/>
        <v>-257358.81</v>
      </c>
      <c r="K32" s="17">
        <f t="shared" si="8"/>
        <v>-269386.65999999997</v>
      </c>
      <c r="L32" s="17">
        <f t="shared" si="8"/>
        <v>-271715.48</v>
      </c>
      <c r="M32" s="17">
        <f t="shared" si="8"/>
        <v>-277328.5</v>
      </c>
      <c r="N32" s="17">
        <f t="shared" si="8"/>
        <v>-260925.16999999995</v>
      </c>
      <c r="O32" s="17">
        <f t="shared" si="8"/>
        <v>-281488.40999999997</v>
      </c>
      <c r="P32" s="17">
        <f t="shared" si="8"/>
        <v>-265380.26</v>
      </c>
      <c r="Q32" s="17">
        <f t="shared" si="8"/>
        <v>-265285.31</v>
      </c>
      <c r="R32" s="17">
        <f t="shared" si="8"/>
        <v>-291139.63</v>
      </c>
      <c r="S32" s="17">
        <f t="shared" si="8"/>
        <v>-292449.15000000002</v>
      </c>
      <c r="T32" s="17">
        <f t="shared" si="8"/>
        <v>-273081.37</v>
      </c>
      <c r="U32" s="17">
        <f t="shared" si="8"/>
        <v>-258982.39999999999</v>
      </c>
      <c r="V32" s="17">
        <f t="shared" si="8"/>
        <v>-265261.93</v>
      </c>
      <c r="W32" s="17">
        <f t="shared" si="8"/>
        <v>-284305.89999999997</v>
      </c>
      <c r="X32" s="17">
        <f t="shared" si="8"/>
        <v>-288957.12</v>
      </c>
      <c r="Y32" s="17">
        <f t="shared" si="8"/>
        <v>-291507.54999999993</v>
      </c>
      <c r="Z32" s="17">
        <f t="shared" si="8"/>
        <v>-284488.53000000003</v>
      </c>
      <c r="AA32" s="17">
        <f t="shared" si="8"/>
        <v>-305373.49</v>
      </c>
      <c r="AB32" s="17">
        <f t="shared" si="8"/>
        <v>-281937.15000000002</v>
      </c>
      <c r="AC32" s="17">
        <f t="shared" si="8"/>
        <v>-276830.05</v>
      </c>
      <c r="AD32" s="17">
        <f t="shared" si="8"/>
        <v>-297702.92</v>
      </c>
      <c r="AE32" s="17">
        <f t="shared" si="8"/>
        <v>-295985.87</v>
      </c>
      <c r="AF32" s="17">
        <f t="shared" si="8"/>
        <v>-283683.04000000004</v>
      </c>
      <c r="AG32" s="17">
        <f t="shared" si="8"/>
        <v>-277976.96000000002</v>
      </c>
      <c r="AH32" s="17">
        <f t="shared" si="8"/>
        <v>-281108.92000000004</v>
      </c>
      <c r="AI32" s="17">
        <f t="shared" si="8"/>
        <v>-293689.04000000004</v>
      </c>
      <c r="AJ32" s="17">
        <f t="shared" si="0"/>
        <v>-3148074.04</v>
      </c>
      <c r="AK32" s="17">
        <f t="shared" si="1"/>
        <v>-3342327.5599999996</v>
      </c>
      <c r="AL32" s="17">
        <f t="shared" si="2"/>
        <v>-2594287.44</v>
      </c>
    </row>
    <row r="33" spans="1:38" x14ac:dyDescent="0.2">
      <c r="A33" s="16" t="s">
        <v>234</v>
      </c>
      <c r="B33" s="16" t="s">
        <v>233</v>
      </c>
      <c r="C33" s="17">
        <f t="shared" ref="C33:AI33" si="9">C25+C32</f>
        <v>94906.189999999944</v>
      </c>
      <c r="D33" s="17">
        <f t="shared" si="9"/>
        <v>22566.749999999942</v>
      </c>
      <c r="E33" s="17">
        <f t="shared" si="9"/>
        <v>51057.319999999978</v>
      </c>
      <c r="F33" s="17">
        <f t="shared" si="9"/>
        <v>18719.320000000123</v>
      </c>
      <c r="G33" s="17">
        <f t="shared" si="9"/>
        <v>53540.750000000058</v>
      </c>
      <c r="H33" s="17">
        <f t="shared" si="9"/>
        <v>75274.060000000027</v>
      </c>
      <c r="I33" s="17">
        <f t="shared" si="9"/>
        <v>87332.810000000172</v>
      </c>
      <c r="J33" s="17">
        <f t="shared" si="9"/>
        <v>48511.799999999988</v>
      </c>
      <c r="K33" s="17">
        <f t="shared" si="9"/>
        <v>42415.330000000075</v>
      </c>
      <c r="L33" s="17">
        <f t="shared" si="9"/>
        <v>12707.760000000242</v>
      </c>
      <c r="M33" s="17">
        <f t="shared" si="9"/>
        <v>97103.989999999991</v>
      </c>
      <c r="N33" s="17">
        <f t="shared" si="9"/>
        <v>42069.96000000005</v>
      </c>
      <c r="O33" s="17">
        <f t="shared" si="9"/>
        <v>48038.140000000072</v>
      </c>
      <c r="P33" s="17">
        <f t="shared" si="9"/>
        <v>21138.760000000009</v>
      </c>
      <c r="Q33" s="17">
        <f t="shared" si="9"/>
        <v>98166.040000000095</v>
      </c>
      <c r="R33" s="17">
        <f t="shared" si="9"/>
        <v>44573.01999999996</v>
      </c>
      <c r="S33" s="17">
        <f t="shared" si="9"/>
        <v>106234.0500000001</v>
      </c>
      <c r="T33" s="17">
        <f t="shared" si="9"/>
        <v>88546.580000000016</v>
      </c>
      <c r="U33" s="17">
        <f t="shared" si="9"/>
        <v>83277.19000000009</v>
      </c>
      <c r="V33" s="17">
        <f t="shared" si="9"/>
        <v>85965.470000000088</v>
      </c>
      <c r="W33" s="17">
        <f t="shared" si="9"/>
        <v>35929.480000000214</v>
      </c>
      <c r="X33" s="17">
        <f t="shared" si="9"/>
        <v>62815.810000000056</v>
      </c>
      <c r="Y33" s="17">
        <f t="shared" si="9"/>
        <v>112355.71000000031</v>
      </c>
      <c r="Z33" s="17">
        <f t="shared" si="9"/>
        <v>28538.219999999972</v>
      </c>
      <c r="AA33" s="17">
        <f t="shared" si="9"/>
        <v>84549.690000000061</v>
      </c>
      <c r="AB33" s="17">
        <f t="shared" si="9"/>
        <v>25341.219999999797</v>
      </c>
      <c r="AC33" s="17">
        <f t="shared" si="9"/>
        <v>95794.439999999886</v>
      </c>
      <c r="AD33" s="17">
        <f t="shared" si="9"/>
        <v>67465.449999999953</v>
      </c>
      <c r="AE33" s="17">
        <f t="shared" si="9"/>
        <v>119838.68000000005</v>
      </c>
      <c r="AF33" s="17">
        <f t="shared" si="9"/>
        <v>124839.67999999993</v>
      </c>
      <c r="AG33" s="17">
        <f t="shared" si="9"/>
        <v>95589.790000000095</v>
      </c>
      <c r="AH33" s="17">
        <f t="shared" si="9"/>
        <v>64361.819999999832</v>
      </c>
      <c r="AI33" s="17">
        <f t="shared" si="9"/>
        <v>64183.509999999893</v>
      </c>
      <c r="AJ33" s="17">
        <f t="shared" si="0"/>
        <v>646206.04000000062</v>
      </c>
      <c r="AK33" s="17">
        <f t="shared" si="1"/>
        <v>815578.47000000102</v>
      </c>
      <c r="AL33" s="17">
        <f t="shared" si="2"/>
        <v>741964.27999999945</v>
      </c>
    </row>
    <row r="34" spans="1:38" x14ac:dyDescent="0.2">
      <c r="A34" t="s">
        <v>236</v>
      </c>
      <c r="B34" s="8" t="s">
        <v>235</v>
      </c>
      <c r="C34" s="18">
        <v>-7892.86</v>
      </c>
      <c r="D34" s="18">
        <v>-7892.86</v>
      </c>
      <c r="E34" s="18">
        <v>-7892.86</v>
      </c>
      <c r="F34" s="18">
        <v>-7892.86</v>
      </c>
      <c r="G34" s="18">
        <v>-7892.86</v>
      </c>
      <c r="H34" s="18">
        <v>-8601.19</v>
      </c>
      <c r="I34" s="18">
        <v>-8601.19</v>
      </c>
      <c r="J34" s="18">
        <v>-8601.19</v>
      </c>
      <c r="K34" s="18">
        <v>-8601.19</v>
      </c>
      <c r="L34" s="18">
        <v>-8601.19</v>
      </c>
      <c r="M34" s="18">
        <v>-8601.19</v>
      </c>
      <c r="N34" s="18">
        <v>-8601.19</v>
      </c>
      <c r="O34" s="18">
        <v>-8601.19</v>
      </c>
      <c r="P34" s="18">
        <v>-8601.19</v>
      </c>
      <c r="Q34" s="18">
        <v>-8601.19</v>
      </c>
      <c r="R34" s="18">
        <v>-9172.6200000000008</v>
      </c>
      <c r="S34" s="18">
        <v>-9172.6200000000008</v>
      </c>
      <c r="T34" s="18">
        <v>-9172.6200000000008</v>
      </c>
      <c r="U34" s="18">
        <v>-9172.6200000000008</v>
      </c>
      <c r="V34" s="18">
        <v>-9172.6200000000008</v>
      </c>
      <c r="W34" s="18">
        <v>-9172.6200000000008</v>
      </c>
      <c r="X34" s="18">
        <v>-10172.620000000001</v>
      </c>
      <c r="Y34" s="18">
        <v>-10172.620000000001</v>
      </c>
      <c r="Z34" s="18">
        <v>-10172.620000000001</v>
      </c>
      <c r="AA34" s="18">
        <v>-10172.620000000001</v>
      </c>
      <c r="AB34" s="18">
        <v>-10172.620000000001</v>
      </c>
      <c r="AC34" s="18">
        <v>-8172.53</v>
      </c>
      <c r="AD34" s="18">
        <v>-7505.95</v>
      </c>
      <c r="AE34" s="18">
        <v>-7739.28</v>
      </c>
      <c r="AF34" s="18">
        <v>-7739.28</v>
      </c>
      <c r="AG34" s="18">
        <v>-6227.39</v>
      </c>
      <c r="AH34" s="18">
        <v>-6013.09</v>
      </c>
      <c r="AI34" s="18">
        <v>-6013.09</v>
      </c>
      <c r="AJ34" s="18">
        <f t="shared" si="0"/>
        <v>-99672.63</v>
      </c>
      <c r="AK34" s="18">
        <f t="shared" si="1"/>
        <v>-111357.15</v>
      </c>
      <c r="AL34" s="18">
        <f t="shared" si="2"/>
        <v>-69755.849999999991</v>
      </c>
    </row>
    <row r="35" spans="1:38" x14ac:dyDescent="0.2">
      <c r="A35" s="16" t="s">
        <v>238</v>
      </c>
      <c r="B35" s="16" t="s">
        <v>237</v>
      </c>
      <c r="C35" s="17">
        <f t="shared" ref="C35:AI35" si="10">C33+C34</f>
        <v>87013.329999999944</v>
      </c>
      <c r="D35" s="17">
        <f t="shared" si="10"/>
        <v>14673.889999999941</v>
      </c>
      <c r="E35" s="17">
        <f t="shared" si="10"/>
        <v>43164.459999999977</v>
      </c>
      <c r="F35" s="17">
        <f t="shared" si="10"/>
        <v>10826.460000000123</v>
      </c>
      <c r="G35" s="17">
        <f t="shared" si="10"/>
        <v>45647.890000000058</v>
      </c>
      <c r="H35" s="17">
        <f t="shared" si="10"/>
        <v>66672.870000000024</v>
      </c>
      <c r="I35" s="17">
        <f t="shared" si="10"/>
        <v>78731.62000000017</v>
      </c>
      <c r="J35" s="17">
        <f t="shared" si="10"/>
        <v>39910.609999999986</v>
      </c>
      <c r="K35" s="17">
        <f t="shared" si="10"/>
        <v>33814.140000000072</v>
      </c>
      <c r="L35" s="17">
        <f t="shared" si="10"/>
        <v>4106.5700000002416</v>
      </c>
      <c r="M35" s="17">
        <f t="shared" si="10"/>
        <v>88502.799999999988</v>
      </c>
      <c r="N35" s="17">
        <f t="shared" si="10"/>
        <v>33468.770000000048</v>
      </c>
      <c r="O35" s="17">
        <f t="shared" si="10"/>
        <v>39436.95000000007</v>
      </c>
      <c r="P35" s="17">
        <f t="shared" si="10"/>
        <v>12537.570000000009</v>
      </c>
      <c r="Q35" s="17">
        <f t="shared" si="10"/>
        <v>89564.850000000093</v>
      </c>
      <c r="R35" s="17">
        <f t="shared" si="10"/>
        <v>35400.399999999958</v>
      </c>
      <c r="S35" s="17">
        <f t="shared" si="10"/>
        <v>97061.430000000109</v>
      </c>
      <c r="T35" s="17">
        <f t="shared" si="10"/>
        <v>79373.960000000021</v>
      </c>
      <c r="U35" s="17">
        <f t="shared" si="10"/>
        <v>74104.570000000094</v>
      </c>
      <c r="V35" s="17">
        <f t="shared" si="10"/>
        <v>76792.850000000093</v>
      </c>
      <c r="W35" s="17">
        <f t="shared" si="10"/>
        <v>26756.860000000212</v>
      </c>
      <c r="X35" s="17">
        <f t="shared" si="10"/>
        <v>52643.190000000053</v>
      </c>
      <c r="Y35" s="17">
        <f t="shared" si="10"/>
        <v>102183.09000000032</v>
      </c>
      <c r="Z35" s="17">
        <f t="shared" si="10"/>
        <v>18365.599999999969</v>
      </c>
      <c r="AA35" s="17">
        <f t="shared" si="10"/>
        <v>74377.070000000065</v>
      </c>
      <c r="AB35" s="17">
        <f t="shared" si="10"/>
        <v>15168.599999999797</v>
      </c>
      <c r="AC35" s="17">
        <f t="shared" si="10"/>
        <v>87621.909999999887</v>
      </c>
      <c r="AD35" s="17">
        <f t="shared" si="10"/>
        <v>59959.499999999956</v>
      </c>
      <c r="AE35" s="17">
        <f t="shared" si="10"/>
        <v>112099.40000000005</v>
      </c>
      <c r="AF35" s="17">
        <f t="shared" si="10"/>
        <v>117100.39999999994</v>
      </c>
      <c r="AG35" s="17">
        <f t="shared" si="10"/>
        <v>89362.400000000096</v>
      </c>
      <c r="AH35" s="17">
        <f t="shared" si="10"/>
        <v>58348.729999999836</v>
      </c>
      <c r="AI35" s="17">
        <f t="shared" si="10"/>
        <v>58170.419999999896</v>
      </c>
      <c r="AJ35" s="17">
        <f t="shared" si="0"/>
        <v>546533.41000000061</v>
      </c>
      <c r="AK35" s="17">
        <f t="shared" si="1"/>
        <v>704221.320000001</v>
      </c>
      <c r="AL35" s="17">
        <f t="shared" si="2"/>
        <v>672208.42999999959</v>
      </c>
    </row>
    <row r="36" spans="1:38" x14ac:dyDescent="0.2">
      <c r="A36" t="s">
        <v>240</v>
      </c>
      <c r="B36" s="8" t="s">
        <v>239</v>
      </c>
      <c r="C36" s="18">
        <v>-3833.33</v>
      </c>
      <c r="D36" s="18">
        <v>-3753.47</v>
      </c>
      <c r="E36" s="18">
        <v>-3673.61</v>
      </c>
      <c r="F36" s="18">
        <v>-3593.75</v>
      </c>
      <c r="G36" s="18">
        <v>-3513.89</v>
      </c>
      <c r="H36" s="18">
        <v>-3340.71</v>
      </c>
      <c r="I36" s="18">
        <v>-3171.87</v>
      </c>
      <c r="J36" s="18">
        <v>-3096.35</v>
      </c>
      <c r="K36" s="18">
        <v>-2934.03</v>
      </c>
      <c r="L36" s="18">
        <v>-2691.41</v>
      </c>
      <c r="M36" s="18">
        <v>-2622.4</v>
      </c>
      <c r="N36" s="18">
        <v>-2392.79</v>
      </c>
      <c r="O36" s="18">
        <v>-2250</v>
      </c>
      <c r="P36" s="18">
        <v>-2187.5</v>
      </c>
      <c r="Q36" s="18">
        <v>-2051.2199999999998</v>
      </c>
      <c r="R36" s="18">
        <v>-1990.89</v>
      </c>
      <c r="S36" s="18">
        <v>-1930.56</v>
      </c>
      <c r="T36" s="18">
        <v>-1870.23</v>
      </c>
      <c r="U36" s="18">
        <v>-1809.9</v>
      </c>
      <c r="V36" s="18">
        <v>-1749.57</v>
      </c>
      <c r="W36" s="18">
        <v>-1628.47</v>
      </c>
      <c r="X36" s="18">
        <v>-1511.72</v>
      </c>
      <c r="Y36" s="18">
        <v>-1455.73</v>
      </c>
      <c r="Z36" s="18">
        <v>-1399.74</v>
      </c>
      <c r="AA36" s="18">
        <v>-1343.75</v>
      </c>
      <c r="AB36" s="18">
        <v>-1287.76</v>
      </c>
      <c r="AC36" s="18">
        <v>-1231.77</v>
      </c>
      <c r="AD36" s="18">
        <v>-1175.78</v>
      </c>
      <c r="AE36" s="18">
        <v>-1119.79</v>
      </c>
      <c r="AF36" s="18">
        <v>-1063.8</v>
      </c>
      <c r="AG36" s="18">
        <v>-1007.81</v>
      </c>
      <c r="AH36" s="18">
        <v>-951.82</v>
      </c>
      <c r="AI36" s="18">
        <v>-895.83</v>
      </c>
      <c r="AJ36" s="18">
        <f t="shared" si="0"/>
        <v>-38617.61</v>
      </c>
      <c r="AK36" s="18">
        <f t="shared" si="1"/>
        <v>-21835.53</v>
      </c>
      <c r="AL36" s="18">
        <f t="shared" si="2"/>
        <v>-10078.11</v>
      </c>
    </row>
    <row r="37" spans="1:38" x14ac:dyDescent="0.2">
      <c r="A37" s="16" t="s">
        <v>242</v>
      </c>
      <c r="B37" s="16" t="s">
        <v>241</v>
      </c>
      <c r="C37" s="17">
        <f t="shared" ref="C37:AI37" si="11">C35+C36</f>
        <v>83179.999999999942</v>
      </c>
      <c r="D37" s="17">
        <f t="shared" si="11"/>
        <v>10920.419999999942</v>
      </c>
      <c r="E37" s="17">
        <f t="shared" si="11"/>
        <v>39490.849999999977</v>
      </c>
      <c r="F37" s="17">
        <f t="shared" si="11"/>
        <v>7232.7100000001228</v>
      </c>
      <c r="G37" s="17">
        <f t="shared" si="11"/>
        <v>42134.000000000058</v>
      </c>
      <c r="H37" s="17">
        <f t="shared" si="11"/>
        <v>63332.160000000025</v>
      </c>
      <c r="I37" s="17">
        <f t="shared" si="11"/>
        <v>75559.750000000175</v>
      </c>
      <c r="J37" s="17">
        <f t="shared" si="11"/>
        <v>36814.259999999987</v>
      </c>
      <c r="K37" s="17">
        <f t="shared" si="11"/>
        <v>30880.110000000073</v>
      </c>
      <c r="L37" s="17">
        <f t="shared" si="11"/>
        <v>1415.1600000002418</v>
      </c>
      <c r="M37" s="17">
        <f t="shared" si="11"/>
        <v>85880.4</v>
      </c>
      <c r="N37" s="17">
        <f t="shared" si="11"/>
        <v>31075.980000000047</v>
      </c>
      <c r="O37" s="17">
        <f t="shared" si="11"/>
        <v>37186.95000000007</v>
      </c>
      <c r="P37" s="17">
        <f t="shared" si="11"/>
        <v>10350.070000000009</v>
      </c>
      <c r="Q37" s="17">
        <f t="shared" si="11"/>
        <v>87513.630000000092</v>
      </c>
      <c r="R37" s="17">
        <f t="shared" si="11"/>
        <v>33409.509999999958</v>
      </c>
      <c r="S37" s="17">
        <f t="shared" si="11"/>
        <v>95130.870000000112</v>
      </c>
      <c r="T37" s="17">
        <f t="shared" si="11"/>
        <v>77503.730000000025</v>
      </c>
      <c r="U37" s="17">
        <f t="shared" si="11"/>
        <v>72294.6700000001</v>
      </c>
      <c r="V37" s="17">
        <f t="shared" si="11"/>
        <v>75043.280000000086</v>
      </c>
      <c r="W37" s="17">
        <f t="shared" si="11"/>
        <v>25128.39000000021</v>
      </c>
      <c r="X37" s="17">
        <f t="shared" si="11"/>
        <v>51131.470000000052</v>
      </c>
      <c r="Y37" s="17">
        <f t="shared" si="11"/>
        <v>100727.36000000032</v>
      </c>
      <c r="Z37" s="17">
        <f t="shared" si="11"/>
        <v>16965.859999999968</v>
      </c>
      <c r="AA37" s="17">
        <f t="shared" si="11"/>
        <v>73033.320000000065</v>
      </c>
      <c r="AB37" s="17">
        <f t="shared" si="11"/>
        <v>13880.839999999796</v>
      </c>
      <c r="AC37" s="17">
        <f t="shared" si="11"/>
        <v>86390.139999999883</v>
      </c>
      <c r="AD37" s="17">
        <f t="shared" si="11"/>
        <v>58783.719999999958</v>
      </c>
      <c r="AE37" s="17">
        <f t="shared" si="11"/>
        <v>110979.61000000006</v>
      </c>
      <c r="AF37" s="17">
        <f t="shared" si="11"/>
        <v>116036.59999999993</v>
      </c>
      <c r="AG37" s="17">
        <f t="shared" si="11"/>
        <v>88354.590000000098</v>
      </c>
      <c r="AH37" s="17">
        <f t="shared" si="11"/>
        <v>57396.909999999836</v>
      </c>
      <c r="AI37" s="17">
        <f t="shared" si="11"/>
        <v>57274.589999999895</v>
      </c>
      <c r="AJ37" s="17">
        <f t="shared" si="0"/>
        <v>507915.80000000069</v>
      </c>
      <c r="AK37" s="17">
        <f t="shared" si="1"/>
        <v>682385.79000000108</v>
      </c>
      <c r="AL37" s="17">
        <f t="shared" si="2"/>
        <v>662130.31999999948</v>
      </c>
    </row>
    <row r="38" spans="1:38" x14ac:dyDescent="0.2">
      <c r="A38" t="s">
        <v>244</v>
      </c>
      <c r="B38" s="8" t="s">
        <v>243</v>
      </c>
      <c r="C38" s="18">
        <v>-9149.7999999999993</v>
      </c>
      <c r="D38" s="18">
        <v>-1201.25</v>
      </c>
      <c r="E38" s="18">
        <v>-4343.99</v>
      </c>
      <c r="F38" s="18">
        <v>-795.6</v>
      </c>
      <c r="G38" s="18">
        <v>-4634.74</v>
      </c>
      <c r="H38" s="18">
        <v>-6966.54</v>
      </c>
      <c r="I38" s="18">
        <v>-8311.57</v>
      </c>
      <c r="J38" s="18">
        <v>-4049.57</v>
      </c>
      <c r="K38" s="18">
        <v>-3396.81</v>
      </c>
      <c r="L38" s="18">
        <v>-155.66999999999999</v>
      </c>
      <c r="M38" s="18">
        <v>-9446.84</v>
      </c>
      <c r="N38" s="18">
        <v>-4368.25</v>
      </c>
      <c r="O38" s="18">
        <v>-4090.56</v>
      </c>
      <c r="P38" s="18">
        <v>-1138.51</v>
      </c>
      <c r="Q38" s="18">
        <v>-9626.5</v>
      </c>
      <c r="R38" s="18">
        <v>-3675.05</v>
      </c>
      <c r="S38" s="18">
        <v>-10464.39</v>
      </c>
      <c r="T38" s="18">
        <v>-8525.41</v>
      </c>
      <c r="U38" s="18">
        <v>-7952.42</v>
      </c>
      <c r="V38" s="18">
        <v>-8254.76</v>
      </c>
      <c r="W38" s="18">
        <v>-4391.45</v>
      </c>
      <c r="X38" s="18">
        <v>-11760.24</v>
      </c>
      <c r="Y38" s="18">
        <v>-23167.29</v>
      </c>
      <c r="Z38" s="18">
        <v>-3902.15</v>
      </c>
      <c r="AA38" s="18">
        <v>-8033.67</v>
      </c>
      <c r="AB38" s="18">
        <v>-1526.89</v>
      </c>
      <c r="AC38" s="18">
        <v>-9502.91</v>
      </c>
      <c r="AD38" s="18">
        <v>-6466.21</v>
      </c>
      <c r="AE38" s="18">
        <v>-12207.76</v>
      </c>
      <c r="AF38" s="18">
        <v>-12764.03</v>
      </c>
      <c r="AG38" s="18">
        <v>-15414.06</v>
      </c>
      <c r="AH38" s="18">
        <v>-13201.29</v>
      </c>
      <c r="AI38" s="18">
        <v>-13173.15</v>
      </c>
      <c r="AJ38" s="18">
        <f t="shared" si="0"/>
        <v>-56820.62999999999</v>
      </c>
      <c r="AK38" s="18">
        <f t="shared" si="1"/>
        <v>-96948.729999999981</v>
      </c>
      <c r="AL38" s="18">
        <f t="shared" si="2"/>
        <v>-92289.97</v>
      </c>
    </row>
    <row r="39" spans="1:38" x14ac:dyDescent="0.2">
      <c r="A39" s="16" t="s">
        <v>246</v>
      </c>
      <c r="B39" s="16" t="s">
        <v>245</v>
      </c>
      <c r="C39" s="17">
        <f t="shared" ref="C39:AI39" si="12">C37+C38</f>
        <v>74030.199999999939</v>
      </c>
      <c r="D39" s="17">
        <f t="shared" si="12"/>
        <v>9719.1699999999419</v>
      </c>
      <c r="E39" s="17">
        <f t="shared" si="12"/>
        <v>35146.859999999979</v>
      </c>
      <c r="F39" s="17">
        <f t="shared" si="12"/>
        <v>6437.1100000001225</v>
      </c>
      <c r="G39" s="17">
        <f t="shared" si="12"/>
        <v>37499.26000000006</v>
      </c>
      <c r="H39" s="17">
        <f t="shared" si="12"/>
        <v>56365.620000000024</v>
      </c>
      <c r="I39" s="17">
        <f t="shared" si="12"/>
        <v>67248.180000000168</v>
      </c>
      <c r="J39" s="17">
        <f t="shared" si="12"/>
        <v>32764.689999999988</v>
      </c>
      <c r="K39" s="17">
        <f t="shared" si="12"/>
        <v>27483.300000000072</v>
      </c>
      <c r="L39" s="17">
        <f t="shared" si="12"/>
        <v>1259.4900000002417</v>
      </c>
      <c r="M39" s="17">
        <f t="shared" si="12"/>
        <v>76433.56</v>
      </c>
      <c r="N39" s="17">
        <f t="shared" si="12"/>
        <v>26707.730000000047</v>
      </c>
      <c r="O39" s="17">
        <f t="shared" si="12"/>
        <v>33096.390000000072</v>
      </c>
      <c r="P39" s="17">
        <f t="shared" si="12"/>
        <v>9211.5600000000086</v>
      </c>
      <c r="Q39" s="17">
        <f t="shared" si="12"/>
        <v>77887.130000000092</v>
      </c>
      <c r="R39" s="17">
        <f t="shared" si="12"/>
        <v>29734.459999999959</v>
      </c>
      <c r="S39" s="17">
        <f t="shared" si="12"/>
        <v>84666.480000000112</v>
      </c>
      <c r="T39" s="17">
        <f t="shared" si="12"/>
        <v>68978.320000000022</v>
      </c>
      <c r="U39" s="17">
        <f t="shared" si="12"/>
        <v>64342.250000000102</v>
      </c>
      <c r="V39" s="17">
        <f t="shared" si="12"/>
        <v>66788.520000000091</v>
      </c>
      <c r="W39" s="17">
        <f t="shared" si="12"/>
        <v>20736.94000000021</v>
      </c>
      <c r="X39" s="17">
        <f t="shared" si="12"/>
        <v>39371.230000000054</v>
      </c>
      <c r="Y39" s="17">
        <f t="shared" si="12"/>
        <v>77560.070000000327</v>
      </c>
      <c r="Z39" s="17">
        <f t="shared" si="12"/>
        <v>13063.709999999968</v>
      </c>
      <c r="AA39" s="17">
        <f t="shared" si="12"/>
        <v>64999.650000000067</v>
      </c>
      <c r="AB39" s="17">
        <f t="shared" si="12"/>
        <v>12353.949999999797</v>
      </c>
      <c r="AC39" s="17">
        <f t="shared" si="12"/>
        <v>76887.22999999988</v>
      </c>
      <c r="AD39" s="17">
        <f t="shared" si="12"/>
        <v>52317.509999999958</v>
      </c>
      <c r="AE39" s="17">
        <f t="shared" si="12"/>
        <v>98771.850000000064</v>
      </c>
      <c r="AF39" s="17">
        <f t="shared" si="12"/>
        <v>103272.56999999993</v>
      </c>
      <c r="AG39" s="17">
        <f t="shared" si="12"/>
        <v>72940.530000000101</v>
      </c>
      <c r="AH39" s="17">
        <f t="shared" si="12"/>
        <v>44195.619999999835</v>
      </c>
      <c r="AI39" s="17">
        <f t="shared" si="12"/>
        <v>44101.439999999893</v>
      </c>
      <c r="AJ39" s="17">
        <f t="shared" si="0"/>
        <v>451095.17000000057</v>
      </c>
      <c r="AK39" s="17">
        <f t="shared" si="1"/>
        <v>585437.06000000099</v>
      </c>
      <c r="AL39" s="17">
        <f t="shared" si="2"/>
        <v>569840.34999999951</v>
      </c>
    </row>
  </sheetData>
  <mergeCells count="1">
    <mergeCell ref="A1:A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3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19" x14ac:dyDescent="0.25">
      <c r="A2" s="1" t="s">
        <v>497</v>
      </c>
    </row>
    <row r="3" spans="1:40" x14ac:dyDescent="0.2">
      <c r="A3" s="2" t="s">
        <v>436</v>
      </c>
    </row>
    <row r="5" spans="1:40" ht="32" x14ac:dyDescent="0.2">
      <c r="A5" s="6" t="s">
        <v>144</v>
      </c>
      <c r="B5" s="7" t="s">
        <v>24</v>
      </c>
      <c r="C5" s="7" t="s">
        <v>437</v>
      </c>
      <c r="D5" s="7" t="s">
        <v>438</v>
      </c>
      <c r="E5" s="7" t="s">
        <v>439</v>
      </c>
      <c r="F5" s="7" t="s">
        <v>440</v>
      </c>
      <c r="G5" s="7" t="s">
        <v>441</v>
      </c>
      <c r="H5" s="7" t="s">
        <v>442</v>
      </c>
      <c r="I5" s="7" t="s">
        <v>443</v>
      </c>
      <c r="J5" s="7" t="s">
        <v>444</v>
      </c>
      <c r="K5" s="7" t="s">
        <v>445</v>
      </c>
      <c r="L5" s="7" t="s">
        <v>446</v>
      </c>
      <c r="M5" s="7" t="s">
        <v>447</v>
      </c>
      <c r="N5" s="7" t="s">
        <v>448</v>
      </c>
      <c r="O5" s="7" t="s">
        <v>449</v>
      </c>
      <c r="P5" s="7" t="s">
        <v>450</v>
      </c>
      <c r="Q5" s="7" t="s">
        <v>451</v>
      </c>
      <c r="R5" s="7" t="s">
        <v>452</v>
      </c>
      <c r="S5" s="7" t="s">
        <v>453</v>
      </c>
      <c r="T5" s="7" t="s">
        <v>454</v>
      </c>
      <c r="U5" s="7" t="s">
        <v>455</v>
      </c>
      <c r="V5" s="7" t="s">
        <v>456</v>
      </c>
      <c r="W5" s="7" t="s">
        <v>457</v>
      </c>
      <c r="X5" s="7" t="s">
        <v>458</v>
      </c>
      <c r="Y5" s="7" t="s">
        <v>459</v>
      </c>
      <c r="Z5" s="7" t="s">
        <v>460</v>
      </c>
      <c r="AA5" s="7" t="s">
        <v>461</v>
      </c>
      <c r="AB5" s="7" t="s">
        <v>462</v>
      </c>
      <c r="AC5" s="7" t="s">
        <v>463</v>
      </c>
      <c r="AD5" s="7" t="s">
        <v>464</v>
      </c>
      <c r="AE5" s="7" t="s">
        <v>465</v>
      </c>
      <c r="AF5" s="7" t="s">
        <v>466</v>
      </c>
      <c r="AG5" s="7" t="s">
        <v>467</v>
      </c>
      <c r="AH5" s="7" t="s">
        <v>468</v>
      </c>
      <c r="AI5" s="7" t="s">
        <v>469</v>
      </c>
      <c r="AJ5" s="7" t="s">
        <v>470</v>
      </c>
      <c r="AK5" s="7" t="s">
        <v>471</v>
      </c>
      <c r="AL5" s="7" t="s">
        <v>472</v>
      </c>
    </row>
    <row r="6" spans="1:40" x14ac:dyDescent="0.2">
      <c r="A6" t="s">
        <v>249</v>
      </c>
      <c r="B6" s="8" t="s">
        <v>248</v>
      </c>
      <c r="C6" s="18">
        <v>721261.96</v>
      </c>
      <c r="D6" s="18">
        <v>627056.48</v>
      </c>
      <c r="E6" s="18">
        <v>578379.09</v>
      </c>
      <c r="F6" s="18">
        <v>605752.73</v>
      </c>
      <c r="G6" s="18">
        <v>633995.93999999994</v>
      </c>
      <c r="H6" s="18">
        <v>673995.68</v>
      </c>
      <c r="I6" s="18">
        <v>798770.17</v>
      </c>
      <c r="J6" s="18">
        <v>880647.19</v>
      </c>
      <c r="K6" s="18">
        <v>929953.29</v>
      </c>
      <c r="L6" s="18">
        <v>933387.74</v>
      </c>
      <c r="M6" s="18">
        <v>1110369.25</v>
      </c>
      <c r="N6" s="18">
        <v>943167.72</v>
      </c>
      <c r="O6" s="18">
        <v>984564.19</v>
      </c>
      <c r="P6" s="18">
        <v>953065.09</v>
      </c>
      <c r="Q6" s="18">
        <v>943349.26</v>
      </c>
      <c r="R6" s="18">
        <v>956091.26</v>
      </c>
      <c r="S6" s="18">
        <v>1088287.46</v>
      </c>
      <c r="T6" s="18">
        <v>1124586.6100000001</v>
      </c>
      <c r="U6" s="18">
        <v>1166259.57</v>
      </c>
      <c r="V6" s="18">
        <v>1239555.24</v>
      </c>
      <c r="W6" s="18">
        <v>1286516.95</v>
      </c>
      <c r="X6" s="18">
        <v>1351939.13</v>
      </c>
      <c r="Y6" s="18">
        <v>1692993.28</v>
      </c>
      <c r="Z6" s="18">
        <v>1370391.69</v>
      </c>
      <c r="AA6" s="18">
        <v>1397855.38</v>
      </c>
      <c r="AB6" s="18">
        <v>1391534.55</v>
      </c>
      <c r="AC6" s="18">
        <v>1416950.81</v>
      </c>
      <c r="AD6" s="18">
        <v>1392544.88</v>
      </c>
      <c r="AE6" s="18">
        <v>1489089.31</v>
      </c>
      <c r="AF6" s="18">
        <v>1592233.26</v>
      </c>
      <c r="AG6" s="18">
        <v>1616043.5</v>
      </c>
      <c r="AH6" s="18">
        <v>1655741.1</v>
      </c>
      <c r="AI6" s="18">
        <v>1722169.75</v>
      </c>
      <c r="AJ6" s="18">
        <f t="shared" ref="AJ6:AJ33" si="0">N6</f>
        <v>943167.72</v>
      </c>
      <c r="AK6" s="18">
        <f t="shared" ref="AK6:AK33" si="1">Z6</f>
        <v>1370391.69</v>
      </c>
      <c r="AL6" s="18">
        <f t="shared" ref="AL6:AL33" si="2">AI6</f>
        <v>1722169.75</v>
      </c>
    </row>
    <row r="7" spans="1:40" x14ac:dyDescent="0.2">
      <c r="A7" t="s">
        <v>498</v>
      </c>
      <c r="B7" s="8" t="s">
        <v>250</v>
      </c>
      <c r="C7" s="18">
        <v>71191.38</v>
      </c>
      <c r="D7" s="18">
        <v>54133.58</v>
      </c>
      <c r="E7" s="18">
        <v>59359.11</v>
      </c>
      <c r="F7" s="18">
        <v>73101</v>
      </c>
      <c r="G7" s="18">
        <v>54350.02</v>
      </c>
      <c r="H7" s="18">
        <v>61791.69</v>
      </c>
      <c r="I7" s="18">
        <v>68793.960000000006</v>
      </c>
      <c r="J7" s="18">
        <v>79332.42</v>
      </c>
      <c r="K7" s="18">
        <v>71052.52</v>
      </c>
      <c r="L7" s="18">
        <v>79597.490000000005</v>
      </c>
      <c r="M7" s="18">
        <v>135301.65</v>
      </c>
      <c r="N7" s="18">
        <v>85555.56</v>
      </c>
      <c r="O7" s="18">
        <v>100039.11</v>
      </c>
      <c r="P7" s="18">
        <v>86374.15</v>
      </c>
      <c r="Q7" s="18">
        <v>131691.29</v>
      </c>
      <c r="R7" s="18">
        <v>59535.06</v>
      </c>
      <c r="S7" s="18">
        <v>113278.15</v>
      </c>
      <c r="T7" s="18">
        <v>93097.11</v>
      </c>
      <c r="U7" s="18">
        <v>77288.160000000003</v>
      </c>
      <c r="V7" s="18">
        <v>108253.97</v>
      </c>
      <c r="W7" s="18">
        <v>118061.85</v>
      </c>
      <c r="X7" s="18">
        <v>111355.87</v>
      </c>
      <c r="Y7" s="18">
        <v>70621.179999999993</v>
      </c>
      <c r="Z7" s="18">
        <v>83405.429999999993</v>
      </c>
      <c r="AA7" s="18">
        <v>119005.64</v>
      </c>
      <c r="AB7" s="18">
        <v>108744.95</v>
      </c>
      <c r="AC7" s="18">
        <v>102308.91</v>
      </c>
      <c r="AD7" s="18">
        <v>60761.61</v>
      </c>
      <c r="AE7" s="18">
        <v>72918.09</v>
      </c>
      <c r="AF7" s="18">
        <v>74983.179999999993</v>
      </c>
      <c r="AG7" s="18">
        <v>72990.929999999993</v>
      </c>
      <c r="AH7" s="18">
        <v>108857.88</v>
      </c>
      <c r="AI7" s="18">
        <v>73595.100000000006</v>
      </c>
      <c r="AJ7" s="18">
        <f t="shared" si="0"/>
        <v>85555.56</v>
      </c>
      <c r="AK7" s="18">
        <f t="shared" si="1"/>
        <v>83405.429999999993</v>
      </c>
      <c r="AL7" s="18">
        <f t="shared" si="2"/>
        <v>73595.100000000006</v>
      </c>
    </row>
    <row r="8" spans="1:40" x14ac:dyDescent="0.2">
      <c r="A8" t="s">
        <v>253</v>
      </c>
      <c r="B8" s="8" t="s">
        <v>252</v>
      </c>
      <c r="C8" s="18">
        <v>651832.59</v>
      </c>
      <c r="D8" s="18">
        <v>706451.19</v>
      </c>
      <c r="E8" s="18">
        <v>711753.46</v>
      </c>
      <c r="F8" s="18">
        <v>715171.42</v>
      </c>
      <c r="G8" s="18">
        <v>668829.25</v>
      </c>
      <c r="H8" s="18">
        <v>650325.65</v>
      </c>
      <c r="I8" s="18">
        <v>629786.02</v>
      </c>
      <c r="J8" s="18">
        <v>674277.26</v>
      </c>
      <c r="K8" s="18">
        <v>610286.82999999996</v>
      </c>
      <c r="L8" s="18">
        <v>606611.43999999994</v>
      </c>
      <c r="M8" s="18">
        <v>524205.39</v>
      </c>
      <c r="N8" s="18">
        <v>574624.47</v>
      </c>
      <c r="O8" s="18">
        <v>493836.59</v>
      </c>
      <c r="P8" s="18">
        <v>536462.44999999995</v>
      </c>
      <c r="Q8" s="18">
        <v>579102.47</v>
      </c>
      <c r="R8" s="18">
        <v>585192.04</v>
      </c>
      <c r="S8" s="18">
        <v>531962.23</v>
      </c>
      <c r="T8" s="18">
        <v>523465.7</v>
      </c>
      <c r="U8" s="18">
        <v>535828.72</v>
      </c>
      <c r="V8" s="18">
        <v>568502.81000000006</v>
      </c>
      <c r="W8" s="18">
        <v>552649.75</v>
      </c>
      <c r="X8" s="18">
        <v>487615.27</v>
      </c>
      <c r="Y8" s="18">
        <v>426041.41</v>
      </c>
      <c r="Z8" s="18">
        <v>521690.17</v>
      </c>
      <c r="AA8" s="18">
        <v>406070.59</v>
      </c>
      <c r="AB8" s="18">
        <v>476623.64</v>
      </c>
      <c r="AC8" s="18">
        <v>518941.52</v>
      </c>
      <c r="AD8" s="18">
        <v>508618.6</v>
      </c>
      <c r="AE8" s="18">
        <v>515565.92</v>
      </c>
      <c r="AF8" s="18">
        <v>524688.74</v>
      </c>
      <c r="AG8" s="18">
        <v>493648.02</v>
      </c>
      <c r="AH8" s="18">
        <v>555387.46</v>
      </c>
      <c r="AI8" s="18">
        <v>505080.18</v>
      </c>
      <c r="AJ8" s="18">
        <f t="shared" si="0"/>
        <v>574624.47</v>
      </c>
      <c r="AK8" s="18">
        <f t="shared" si="1"/>
        <v>521690.17</v>
      </c>
      <c r="AL8" s="18">
        <f t="shared" si="2"/>
        <v>505080.18</v>
      </c>
    </row>
    <row r="9" spans="1:40" x14ac:dyDescent="0.2">
      <c r="A9" t="s">
        <v>255</v>
      </c>
      <c r="B9" s="8" t="s">
        <v>254</v>
      </c>
      <c r="C9" s="18">
        <v>331461.21000000002</v>
      </c>
      <c r="D9" s="18">
        <v>296506.12</v>
      </c>
      <c r="E9" s="18">
        <v>282554.34000000003</v>
      </c>
      <c r="F9" s="18">
        <v>301602.39</v>
      </c>
      <c r="G9" s="18">
        <v>325644.34999999998</v>
      </c>
      <c r="H9" s="18">
        <v>293731.38</v>
      </c>
      <c r="I9" s="18">
        <v>266097.5</v>
      </c>
      <c r="J9" s="18">
        <v>284554.53000000003</v>
      </c>
      <c r="K9" s="18">
        <v>281715.31</v>
      </c>
      <c r="L9" s="18">
        <v>315499.96999999997</v>
      </c>
      <c r="M9" s="18">
        <v>315587.61</v>
      </c>
      <c r="N9" s="18">
        <v>291769.67</v>
      </c>
      <c r="O9" s="18">
        <v>328738.06</v>
      </c>
      <c r="P9" s="18">
        <v>302607.96999999997</v>
      </c>
      <c r="Q9" s="18">
        <v>327740.65000000002</v>
      </c>
      <c r="R9" s="18">
        <v>337975.85</v>
      </c>
      <c r="S9" s="18">
        <v>331542.68</v>
      </c>
      <c r="T9" s="18">
        <v>301436.90999999997</v>
      </c>
      <c r="U9" s="18">
        <v>286624.09000000003</v>
      </c>
      <c r="V9" s="18">
        <v>262169.11</v>
      </c>
      <c r="W9" s="18">
        <v>299425.44</v>
      </c>
      <c r="X9" s="18">
        <v>306337.94</v>
      </c>
      <c r="Y9" s="18">
        <v>327870.46999999997</v>
      </c>
      <c r="Z9" s="18">
        <v>363035.59</v>
      </c>
      <c r="AA9" s="18">
        <v>350632.59</v>
      </c>
      <c r="AB9" s="18">
        <v>335230.09999999998</v>
      </c>
      <c r="AC9" s="18">
        <v>356345.26</v>
      </c>
      <c r="AD9" s="18">
        <v>371942.58</v>
      </c>
      <c r="AE9" s="18">
        <v>336003.59</v>
      </c>
      <c r="AF9" s="18">
        <v>295114.59999999998</v>
      </c>
      <c r="AG9" s="18">
        <v>270991.28000000003</v>
      </c>
      <c r="AH9" s="18">
        <v>297570.67</v>
      </c>
      <c r="AI9" s="18">
        <v>279846.23</v>
      </c>
      <c r="AJ9" s="18">
        <f t="shared" si="0"/>
        <v>291769.67</v>
      </c>
      <c r="AK9" s="18">
        <f t="shared" si="1"/>
        <v>363035.59</v>
      </c>
      <c r="AL9" s="18">
        <f t="shared" si="2"/>
        <v>279846.23</v>
      </c>
    </row>
    <row r="10" spans="1:40" x14ac:dyDescent="0.2">
      <c r="A10" t="s">
        <v>257</v>
      </c>
      <c r="B10" s="8" t="s">
        <v>256</v>
      </c>
      <c r="C10" s="18">
        <v>57200</v>
      </c>
      <c r="D10" s="18">
        <v>52000</v>
      </c>
      <c r="E10" s="18">
        <v>46800</v>
      </c>
      <c r="F10" s="18">
        <v>41600</v>
      </c>
      <c r="G10" s="18">
        <v>36400</v>
      </c>
      <c r="H10" s="18">
        <v>31200</v>
      </c>
      <c r="I10" s="18">
        <v>26000</v>
      </c>
      <c r="J10" s="18">
        <v>20800</v>
      </c>
      <c r="K10" s="18">
        <v>15600</v>
      </c>
      <c r="L10" s="18">
        <v>10400</v>
      </c>
      <c r="M10" s="18">
        <v>5200</v>
      </c>
      <c r="N10" s="18">
        <v>0</v>
      </c>
      <c r="O10" s="18">
        <v>59488</v>
      </c>
      <c r="P10" s="18">
        <v>54080</v>
      </c>
      <c r="Q10" s="18">
        <v>48672</v>
      </c>
      <c r="R10" s="18">
        <v>43264</v>
      </c>
      <c r="S10" s="18">
        <v>37856</v>
      </c>
      <c r="T10" s="18">
        <v>32448</v>
      </c>
      <c r="U10" s="18">
        <v>27040</v>
      </c>
      <c r="V10" s="18">
        <v>21632</v>
      </c>
      <c r="W10" s="18">
        <v>16224</v>
      </c>
      <c r="X10" s="18">
        <v>10816</v>
      </c>
      <c r="Y10" s="18">
        <v>5408</v>
      </c>
      <c r="Z10" s="18">
        <v>0</v>
      </c>
      <c r="AA10" s="18">
        <v>61867.519999999997</v>
      </c>
      <c r="AB10" s="18">
        <v>56243.199999999997</v>
      </c>
      <c r="AC10" s="18">
        <v>50618.879999999997</v>
      </c>
      <c r="AD10" s="18">
        <v>44994.559999999998</v>
      </c>
      <c r="AE10" s="18">
        <v>39370.239999999998</v>
      </c>
      <c r="AF10" s="18">
        <v>33745.919999999998</v>
      </c>
      <c r="AG10" s="18">
        <v>28121.599999999999</v>
      </c>
      <c r="AH10" s="18">
        <v>22497.279999999999</v>
      </c>
      <c r="AI10" s="18">
        <v>16872.96</v>
      </c>
      <c r="AJ10" s="18">
        <f t="shared" si="0"/>
        <v>0</v>
      </c>
      <c r="AK10" s="18">
        <f t="shared" si="1"/>
        <v>0</v>
      </c>
      <c r="AL10" s="18">
        <f t="shared" si="2"/>
        <v>16872.96</v>
      </c>
    </row>
    <row r="11" spans="1:40" x14ac:dyDescent="0.2">
      <c r="A11" t="s">
        <v>259</v>
      </c>
      <c r="B11" s="8" t="s">
        <v>258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f t="shared" si="0"/>
        <v>0</v>
      </c>
      <c r="AK11" s="18">
        <f t="shared" si="1"/>
        <v>0</v>
      </c>
      <c r="AL11" s="18">
        <f t="shared" si="2"/>
        <v>0</v>
      </c>
    </row>
    <row r="12" spans="1:40" x14ac:dyDescent="0.2">
      <c r="A12" s="16" t="s">
        <v>261</v>
      </c>
      <c r="B12" s="16" t="s">
        <v>260</v>
      </c>
      <c r="C12" s="17">
        <f t="shared" ref="C12:AI12" si="3">C6+C7+C8+C9+C10+C11</f>
        <v>1832947.14</v>
      </c>
      <c r="D12" s="17">
        <f t="shared" si="3"/>
        <v>1736147.37</v>
      </c>
      <c r="E12" s="17">
        <f t="shared" si="3"/>
        <v>1678846</v>
      </c>
      <c r="F12" s="17">
        <f t="shared" si="3"/>
        <v>1737227.54</v>
      </c>
      <c r="G12" s="17">
        <f t="shared" si="3"/>
        <v>1719219.56</v>
      </c>
      <c r="H12" s="17">
        <f t="shared" si="3"/>
        <v>1711044.4</v>
      </c>
      <c r="I12" s="17">
        <f t="shared" si="3"/>
        <v>1789447.65</v>
      </c>
      <c r="J12" s="17">
        <f t="shared" si="3"/>
        <v>1939611.4000000001</v>
      </c>
      <c r="K12" s="17">
        <f t="shared" si="3"/>
        <v>1908607.9500000002</v>
      </c>
      <c r="L12" s="17">
        <f t="shared" si="3"/>
        <v>1945496.64</v>
      </c>
      <c r="M12" s="17">
        <f t="shared" si="3"/>
        <v>2090663.9</v>
      </c>
      <c r="N12" s="17">
        <f t="shared" si="3"/>
        <v>1895117.42</v>
      </c>
      <c r="O12" s="17">
        <f t="shared" si="3"/>
        <v>1966665.9500000002</v>
      </c>
      <c r="P12" s="17">
        <f t="shared" si="3"/>
        <v>1932589.66</v>
      </c>
      <c r="Q12" s="17">
        <f t="shared" si="3"/>
        <v>2030555.67</v>
      </c>
      <c r="R12" s="17">
        <f t="shared" si="3"/>
        <v>1982058.21</v>
      </c>
      <c r="S12" s="17">
        <f t="shared" si="3"/>
        <v>2102926.5199999996</v>
      </c>
      <c r="T12" s="17">
        <f t="shared" si="3"/>
        <v>2075034.33</v>
      </c>
      <c r="U12" s="17">
        <f t="shared" si="3"/>
        <v>2093040.54</v>
      </c>
      <c r="V12" s="17">
        <f t="shared" si="3"/>
        <v>2200113.13</v>
      </c>
      <c r="W12" s="17">
        <f t="shared" si="3"/>
        <v>2272877.9900000002</v>
      </c>
      <c r="X12" s="17">
        <f t="shared" si="3"/>
        <v>2268064.21</v>
      </c>
      <c r="Y12" s="17">
        <f t="shared" si="3"/>
        <v>2522934.34</v>
      </c>
      <c r="Z12" s="17">
        <f t="shared" si="3"/>
        <v>2338522.88</v>
      </c>
      <c r="AA12" s="17">
        <f t="shared" si="3"/>
        <v>2335431.7199999997</v>
      </c>
      <c r="AB12" s="17">
        <f t="shared" si="3"/>
        <v>2368376.4400000004</v>
      </c>
      <c r="AC12" s="17">
        <f t="shared" si="3"/>
        <v>2445165.38</v>
      </c>
      <c r="AD12" s="17">
        <f t="shared" si="3"/>
        <v>2378862.23</v>
      </c>
      <c r="AE12" s="17">
        <f t="shared" si="3"/>
        <v>2452947.1500000004</v>
      </c>
      <c r="AF12" s="17">
        <f t="shared" si="3"/>
        <v>2520765.6999999997</v>
      </c>
      <c r="AG12" s="17">
        <f t="shared" si="3"/>
        <v>2481795.3300000005</v>
      </c>
      <c r="AH12" s="17">
        <f t="shared" si="3"/>
        <v>2640054.3899999997</v>
      </c>
      <c r="AI12" s="17">
        <f t="shared" si="3"/>
        <v>2597564.2200000002</v>
      </c>
      <c r="AJ12" s="17">
        <f t="shared" si="0"/>
        <v>1895117.42</v>
      </c>
      <c r="AK12" s="17">
        <f t="shared" si="1"/>
        <v>2338522.88</v>
      </c>
      <c r="AL12" s="17">
        <f t="shared" si="2"/>
        <v>2597564.2200000002</v>
      </c>
    </row>
    <row r="13" spans="1:40" x14ac:dyDescent="0.2">
      <c r="A13" t="s">
        <v>263</v>
      </c>
      <c r="B13" s="8" t="s">
        <v>262</v>
      </c>
      <c r="C13" s="18">
        <v>725000</v>
      </c>
      <c r="D13" s="18">
        <v>725000</v>
      </c>
      <c r="E13" s="18">
        <v>725000</v>
      </c>
      <c r="F13" s="18">
        <v>725000</v>
      </c>
      <c r="G13" s="18">
        <v>810000</v>
      </c>
      <c r="H13" s="18">
        <v>810000</v>
      </c>
      <c r="I13" s="18">
        <v>810000</v>
      </c>
      <c r="J13" s="18">
        <v>810000</v>
      </c>
      <c r="K13" s="18">
        <v>810000</v>
      </c>
      <c r="L13" s="18">
        <v>810000</v>
      </c>
      <c r="M13" s="18">
        <v>810000</v>
      </c>
      <c r="N13" s="18">
        <v>810000</v>
      </c>
      <c r="O13" s="18">
        <v>810000</v>
      </c>
      <c r="P13" s="18">
        <v>810000</v>
      </c>
      <c r="Q13" s="18">
        <v>858000</v>
      </c>
      <c r="R13" s="18">
        <v>858000</v>
      </c>
      <c r="S13" s="18">
        <v>858000</v>
      </c>
      <c r="T13" s="18">
        <v>858000</v>
      </c>
      <c r="U13" s="18">
        <v>858000</v>
      </c>
      <c r="V13" s="18">
        <v>858000</v>
      </c>
      <c r="W13" s="18">
        <v>894000</v>
      </c>
      <c r="X13" s="18">
        <v>894000</v>
      </c>
      <c r="Y13" s="18">
        <v>894000</v>
      </c>
      <c r="Z13" s="18">
        <v>894000</v>
      </c>
      <c r="AA13" s="18">
        <v>894000</v>
      </c>
      <c r="AB13" s="18">
        <v>894000</v>
      </c>
      <c r="AC13" s="18">
        <v>894000</v>
      </c>
      <c r="AD13" s="18">
        <v>922000</v>
      </c>
      <c r="AE13" s="18">
        <v>922000</v>
      </c>
      <c r="AF13" s="18">
        <v>922000</v>
      </c>
      <c r="AG13" s="18">
        <v>922000</v>
      </c>
      <c r="AH13" s="18">
        <v>922000</v>
      </c>
      <c r="AI13" s="18">
        <v>922000</v>
      </c>
      <c r="AJ13" s="18">
        <f t="shared" si="0"/>
        <v>810000</v>
      </c>
      <c r="AK13" s="18">
        <f t="shared" si="1"/>
        <v>894000</v>
      </c>
      <c r="AL13" s="18">
        <f t="shared" si="2"/>
        <v>922000</v>
      </c>
    </row>
    <row r="14" spans="1:40" x14ac:dyDescent="0.2">
      <c r="A14" t="s">
        <v>265</v>
      </c>
      <c r="B14" s="8" t="s">
        <v>264</v>
      </c>
      <c r="C14" s="18">
        <v>-397892.86</v>
      </c>
      <c r="D14" s="18">
        <v>-405785.72</v>
      </c>
      <c r="E14" s="18">
        <v>-413678.58</v>
      </c>
      <c r="F14" s="18">
        <v>-421571.44</v>
      </c>
      <c r="G14" s="18">
        <v>-429464.3</v>
      </c>
      <c r="H14" s="18">
        <v>-438065.49</v>
      </c>
      <c r="I14" s="18">
        <v>-446666.68</v>
      </c>
      <c r="J14" s="18">
        <v>-455267.87</v>
      </c>
      <c r="K14" s="18">
        <v>-463869.06</v>
      </c>
      <c r="L14" s="18">
        <v>-472470.25</v>
      </c>
      <c r="M14" s="18">
        <v>-481071.44</v>
      </c>
      <c r="N14" s="18">
        <v>-489672.63</v>
      </c>
      <c r="O14" s="18">
        <v>-498273.82</v>
      </c>
      <c r="P14" s="18">
        <v>-506875.01</v>
      </c>
      <c r="Q14" s="18">
        <v>-515476.2</v>
      </c>
      <c r="R14" s="18">
        <v>-524648.81999999995</v>
      </c>
      <c r="S14" s="18">
        <v>-533821.43999999994</v>
      </c>
      <c r="T14" s="18">
        <v>-542994.06000000006</v>
      </c>
      <c r="U14" s="18">
        <v>-552166.68000000005</v>
      </c>
      <c r="V14" s="18">
        <v>-561339.30000000005</v>
      </c>
      <c r="W14" s="18">
        <v>-570511.92000000004</v>
      </c>
      <c r="X14" s="18">
        <v>-580684.54</v>
      </c>
      <c r="Y14" s="18">
        <v>-590857.16</v>
      </c>
      <c r="Z14" s="18">
        <v>-601029.78</v>
      </c>
      <c r="AA14" s="18">
        <v>-611202.4</v>
      </c>
      <c r="AB14" s="18">
        <v>-621375.02</v>
      </c>
      <c r="AC14" s="18">
        <v>-629547.55000000005</v>
      </c>
      <c r="AD14" s="18">
        <v>-637053.5</v>
      </c>
      <c r="AE14" s="18">
        <v>-644792.78</v>
      </c>
      <c r="AF14" s="18">
        <v>-652532.06000000006</v>
      </c>
      <c r="AG14" s="18">
        <v>-658759.44999999995</v>
      </c>
      <c r="AH14" s="18">
        <v>-664772.54</v>
      </c>
      <c r="AI14" s="18">
        <v>-670785.63</v>
      </c>
      <c r="AJ14" s="18">
        <f t="shared" si="0"/>
        <v>-489672.63</v>
      </c>
      <c r="AK14" s="18">
        <f t="shared" si="1"/>
        <v>-601029.78</v>
      </c>
      <c r="AL14" s="18">
        <f t="shared" si="2"/>
        <v>-670785.63</v>
      </c>
    </row>
    <row r="15" spans="1:40" x14ac:dyDescent="0.2">
      <c r="A15" s="16" t="s">
        <v>267</v>
      </c>
      <c r="B15" s="16" t="s">
        <v>266</v>
      </c>
      <c r="C15" s="17">
        <f t="shared" ref="C15:AI15" si="4">C13+C14</f>
        <v>327107.14</v>
      </c>
      <c r="D15" s="17">
        <f t="shared" si="4"/>
        <v>319214.28000000003</v>
      </c>
      <c r="E15" s="17">
        <f t="shared" si="4"/>
        <v>311321.42</v>
      </c>
      <c r="F15" s="17">
        <f t="shared" si="4"/>
        <v>303428.56</v>
      </c>
      <c r="G15" s="17">
        <f t="shared" si="4"/>
        <v>380535.7</v>
      </c>
      <c r="H15" s="17">
        <f t="shared" si="4"/>
        <v>371934.51</v>
      </c>
      <c r="I15" s="17">
        <f t="shared" si="4"/>
        <v>363333.32</v>
      </c>
      <c r="J15" s="17">
        <f t="shared" si="4"/>
        <v>354732.13</v>
      </c>
      <c r="K15" s="17">
        <f t="shared" si="4"/>
        <v>346130.94</v>
      </c>
      <c r="L15" s="17">
        <f t="shared" si="4"/>
        <v>337529.75</v>
      </c>
      <c r="M15" s="17">
        <f t="shared" si="4"/>
        <v>328928.56</v>
      </c>
      <c r="N15" s="17">
        <f t="shared" si="4"/>
        <v>320327.37</v>
      </c>
      <c r="O15" s="17">
        <f t="shared" si="4"/>
        <v>311726.18</v>
      </c>
      <c r="P15" s="17">
        <f t="shared" si="4"/>
        <v>303124.99</v>
      </c>
      <c r="Q15" s="17">
        <f t="shared" si="4"/>
        <v>342523.8</v>
      </c>
      <c r="R15" s="17">
        <f t="shared" si="4"/>
        <v>333351.18000000005</v>
      </c>
      <c r="S15" s="17">
        <f t="shared" si="4"/>
        <v>324178.56000000006</v>
      </c>
      <c r="T15" s="17">
        <f t="shared" si="4"/>
        <v>315005.93999999994</v>
      </c>
      <c r="U15" s="17">
        <f t="shared" si="4"/>
        <v>305833.31999999995</v>
      </c>
      <c r="V15" s="17">
        <f t="shared" si="4"/>
        <v>296660.69999999995</v>
      </c>
      <c r="W15" s="17">
        <f t="shared" si="4"/>
        <v>323488.07999999996</v>
      </c>
      <c r="X15" s="17">
        <f t="shared" si="4"/>
        <v>313315.45999999996</v>
      </c>
      <c r="Y15" s="17">
        <f t="shared" si="4"/>
        <v>303142.83999999997</v>
      </c>
      <c r="Z15" s="17">
        <f t="shared" si="4"/>
        <v>292970.21999999997</v>
      </c>
      <c r="AA15" s="17">
        <f t="shared" si="4"/>
        <v>282797.59999999998</v>
      </c>
      <c r="AB15" s="17">
        <f t="shared" si="4"/>
        <v>272624.98</v>
      </c>
      <c r="AC15" s="17">
        <f t="shared" si="4"/>
        <v>264452.44999999995</v>
      </c>
      <c r="AD15" s="17">
        <f t="shared" si="4"/>
        <v>284946.5</v>
      </c>
      <c r="AE15" s="17">
        <f t="shared" si="4"/>
        <v>277207.21999999997</v>
      </c>
      <c r="AF15" s="17">
        <f t="shared" si="4"/>
        <v>269467.93999999994</v>
      </c>
      <c r="AG15" s="17">
        <f t="shared" si="4"/>
        <v>263240.55000000005</v>
      </c>
      <c r="AH15" s="17">
        <f t="shared" si="4"/>
        <v>257227.45999999996</v>
      </c>
      <c r="AI15" s="17">
        <f t="shared" si="4"/>
        <v>251214.37</v>
      </c>
      <c r="AJ15" s="17">
        <f t="shared" si="0"/>
        <v>320327.37</v>
      </c>
      <c r="AK15" s="17">
        <f t="shared" si="1"/>
        <v>292970.21999999997</v>
      </c>
      <c r="AL15" s="17">
        <f t="shared" si="2"/>
        <v>251214.37</v>
      </c>
    </row>
    <row r="16" spans="1:40" x14ac:dyDescent="0.2">
      <c r="A16" s="16" t="s">
        <v>269</v>
      </c>
      <c r="B16" s="16" t="s">
        <v>268</v>
      </c>
      <c r="C16" s="17">
        <f t="shared" ref="C16:AI16" si="5">C12+C15</f>
        <v>2160054.2799999998</v>
      </c>
      <c r="D16" s="17">
        <f t="shared" si="5"/>
        <v>2055361.6500000001</v>
      </c>
      <c r="E16" s="17">
        <f t="shared" si="5"/>
        <v>1990167.42</v>
      </c>
      <c r="F16" s="17">
        <f t="shared" si="5"/>
        <v>2040656.1</v>
      </c>
      <c r="G16" s="17">
        <f t="shared" si="5"/>
        <v>2099755.2600000002</v>
      </c>
      <c r="H16" s="17">
        <f t="shared" si="5"/>
        <v>2082978.91</v>
      </c>
      <c r="I16" s="17">
        <f t="shared" si="5"/>
        <v>2152780.9699999997</v>
      </c>
      <c r="J16" s="17">
        <f t="shared" si="5"/>
        <v>2294343.5300000003</v>
      </c>
      <c r="K16" s="17">
        <f t="shared" si="5"/>
        <v>2254738.89</v>
      </c>
      <c r="L16" s="17">
        <f t="shared" si="5"/>
        <v>2283026.3899999997</v>
      </c>
      <c r="M16" s="17">
        <f t="shared" si="5"/>
        <v>2419592.46</v>
      </c>
      <c r="N16" s="17">
        <f t="shared" si="5"/>
        <v>2215444.79</v>
      </c>
      <c r="O16" s="17">
        <f t="shared" si="5"/>
        <v>2278392.1300000004</v>
      </c>
      <c r="P16" s="17">
        <f t="shared" si="5"/>
        <v>2235714.65</v>
      </c>
      <c r="Q16" s="17">
        <f t="shared" si="5"/>
        <v>2373079.4699999997</v>
      </c>
      <c r="R16" s="17">
        <f t="shared" si="5"/>
        <v>2315409.39</v>
      </c>
      <c r="S16" s="17">
        <f t="shared" si="5"/>
        <v>2427105.0799999996</v>
      </c>
      <c r="T16" s="17">
        <f t="shared" si="5"/>
        <v>2390040.27</v>
      </c>
      <c r="U16" s="17">
        <f t="shared" si="5"/>
        <v>2398873.86</v>
      </c>
      <c r="V16" s="17">
        <f t="shared" si="5"/>
        <v>2496773.83</v>
      </c>
      <c r="W16" s="17">
        <f t="shared" si="5"/>
        <v>2596366.0700000003</v>
      </c>
      <c r="X16" s="17">
        <f t="shared" si="5"/>
        <v>2581379.67</v>
      </c>
      <c r="Y16" s="17">
        <f t="shared" si="5"/>
        <v>2826077.1799999997</v>
      </c>
      <c r="Z16" s="17">
        <f t="shared" si="5"/>
        <v>2631493.0999999996</v>
      </c>
      <c r="AA16" s="17">
        <f t="shared" si="5"/>
        <v>2618229.3199999998</v>
      </c>
      <c r="AB16" s="17">
        <f t="shared" si="5"/>
        <v>2641001.4200000004</v>
      </c>
      <c r="AC16" s="17">
        <f t="shared" si="5"/>
        <v>2709617.83</v>
      </c>
      <c r="AD16" s="17">
        <f t="shared" si="5"/>
        <v>2663808.73</v>
      </c>
      <c r="AE16" s="17">
        <f t="shared" si="5"/>
        <v>2730154.37</v>
      </c>
      <c r="AF16" s="17">
        <f t="shared" si="5"/>
        <v>2790233.6399999997</v>
      </c>
      <c r="AG16" s="17">
        <f t="shared" si="5"/>
        <v>2745035.8800000008</v>
      </c>
      <c r="AH16" s="17">
        <f t="shared" si="5"/>
        <v>2897281.8499999996</v>
      </c>
      <c r="AI16" s="17">
        <f t="shared" si="5"/>
        <v>2848778.5900000003</v>
      </c>
      <c r="AJ16" s="17">
        <f t="shared" si="0"/>
        <v>2215444.79</v>
      </c>
      <c r="AK16" s="17">
        <f t="shared" si="1"/>
        <v>2631493.0999999996</v>
      </c>
      <c r="AL16" s="17">
        <f t="shared" si="2"/>
        <v>2848778.5900000003</v>
      </c>
    </row>
    <row r="17" spans="1:38" x14ac:dyDescent="0.2">
      <c r="A17" t="s">
        <v>271</v>
      </c>
      <c r="B17" s="8" t="s">
        <v>270</v>
      </c>
      <c r="C17" s="18">
        <v>558132.1</v>
      </c>
      <c r="D17" s="18">
        <v>488886.82</v>
      </c>
      <c r="E17" s="18">
        <v>442776.44</v>
      </c>
      <c r="F17" s="18">
        <v>465085.14</v>
      </c>
      <c r="G17" s="18">
        <v>484435.42</v>
      </c>
      <c r="H17" s="18">
        <v>439461.5</v>
      </c>
      <c r="I17" s="18">
        <v>476533.69</v>
      </c>
      <c r="J17" s="18">
        <v>542219.51</v>
      </c>
      <c r="K17" s="18">
        <v>460300.84</v>
      </c>
      <c r="L17" s="18">
        <v>495413.81</v>
      </c>
      <c r="M17" s="18">
        <v>493422.3</v>
      </c>
      <c r="N17" s="18">
        <v>556893.06999999995</v>
      </c>
      <c r="O17" s="18">
        <v>534104.06999999995</v>
      </c>
      <c r="P17" s="18">
        <v>527025.69999999995</v>
      </c>
      <c r="Q17" s="18">
        <v>648110.21</v>
      </c>
      <c r="R17" s="18">
        <v>558232.86</v>
      </c>
      <c r="S17" s="18">
        <v>564242.56000000006</v>
      </c>
      <c r="T17" s="18">
        <v>522193.08</v>
      </c>
      <c r="U17" s="18">
        <v>523201.8</v>
      </c>
      <c r="V17" s="18">
        <v>534484.68000000005</v>
      </c>
      <c r="W17" s="18">
        <v>557331.81999999995</v>
      </c>
      <c r="X17" s="18">
        <v>490457.24</v>
      </c>
      <c r="Y17" s="18">
        <v>570088.49</v>
      </c>
      <c r="Z17" s="18">
        <v>665486.17000000004</v>
      </c>
      <c r="AA17" s="18">
        <v>548383.56000000006</v>
      </c>
      <c r="AB17" s="18">
        <v>608161.37</v>
      </c>
      <c r="AC17" s="18">
        <v>660198.51</v>
      </c>
      <c r="AD17" s="18">
        <v>609212.71</v>
      </c>
      <c r="AE17" s="18">
        <v>580142.74</v>
      </c>
      <c r="AF17" s="18">
        <v>610638.94999999995</v>
      </c>
      <c r="AG17" s="18">
        <v>523995.88</v>
      </c>
      <c r="AH17" s="18">
        <v>629920.86</v>
      </c>
      <c r="AI17" s="18">
        <v>514000.7</v>
      </c>
      <c r="AJ17" s="18">
        <f t="shared" si="0"/>
        <v>556893.06999999995</v>
      </c>
      <c r="AK17" s="18">
        <f t="shared" si="1"/>
        <v>665486.17000000004</v>
      </c>
      <c r="AL17" s="18">
        <f t="shared" si="2"/>
        <v>514000.7</v>
      </c>
    </row>
    <row r="18" spans="1:38" x14ac:dyDescent="0.2">
      <c r="A18" t="s">
        <v>273</v>
      </c>
      <c r="B18" s="8" t="s">
        <v>272</v>
      </c>
      <c r="C18" s="18">
        <v>61873.95</v>
      </c>
      <c r="D18" s="18">
        <v>57112.98</v>
      </c>
      <c r="E18" s="18">
        <v>60499.86</v>
      </c>
      <c r="F18" s="18">
        <v>63235.72</v>
      </c>
      <c r="G18" s="18">
        <v>63397.88</v>
      </c>
      <c r="H18" s="18">
        <v>60830.18</v>
      </c>
      <c r="I18" s="18">
        <v>62479.53</v>
      </c>
      <c r="J18" s="18">
        <v>63169.47</v>
      </c>
      <c r="K18" s="18">
        <v>60572.57</v>
      </c>
      <c r="L18" s="18">
        <v>62173.51</v>
      </c>
      <c r="M18" s="18">
        <v>63566.62</v>
      </c>
      <c r="N18" s="18">
        <v>59041.61</v>
      </c>
      <c r="O18" s="18">
        <v>66148.800000000003</v>
      </c>
      <c r="P18" s="18">
        <v>59746.79</v>
      </c>
      <c r="Q18" s="18">
        <v>65439.57</v>
      </c>
      <c r="R18" s="18">
        <v>66878.990000000005</v>
      </c>
      <c r="S18" s="18">
        <v>67922.929999999993</v>
      </c>
      <c r="T18" s="18">
        <v>63302.17</v>
      </c>
      <c r="U18" s="18">
        <v>63692.33</v>
      </c>
      <c r="V18" s="18">
        <v>66138.509999999995</v>
      </c>
      <c r="W18" s="18">
        <v>66548.95</v>
      </c>
      <c r="X18" s="18">
        <v>67136.11</v>
      </c>
      <c r="Y18" s="18">
        <v>66939.62</v>
      </c>
      <c r="Z18" s="18">
        <v>64867.91</v>
      </c>
      <c r="AA18" s="18">
        <v>71473.27</v>
      </c>
      <c r="AB18" s="18">
        <v>63756.24</v>
      </c>
      <c r="AC18" s="18">
        <v>69798.960000000006</v>
      </c>
      <c r="AD18" s="18">
        <v>67271.64</v>
      </c>
      <c r="AE18" s="18">
        <v>68830.05</v>
      </c>
      <c r="AF18" s="18">
        <v>68037.56</v>
      </c>
      <c r="AG18" s="18">
        <v>68865.83</v>
      </c>
      <c r="AH18" s="18">
        <v>68793.36</v>
      </c>
      <c r="AI18" s="18">
        <v>68086</v>
      </c>
      <c r="AJ18" s="18">
        <f t="shared" si="0"/>
        <v>59041.61</v>
      </c>
      <c r="AK18" s="18">
        <f t="shared" si="1"/>
        <v>64867.91</v>
      </c>
      <c r="AL18" s="18">
        <f t="shared" si="2"/>
        <v>68086</v>
      </c>
    </row>
    <row r="19" spans="1:38" x14ac:dyDescent="0.2">
      <c r="A19" t="s">
        <v>275</v>
      </c>
      <c r="B19" s="8" t="s">
        <v>274</v>
      </c>
      <c r="C19" s="18">
        <v>516148.12</v>
      </c>
      <c r="D19" s="18">
        <v>478873.17</v>
      </c>
      <c r="E19" s="18">
        <v>458386.16</v>
      </c>
      <c r="F19" s="18">
        <v>513950.43</v>
      </c>
      <c r="G19" s="18">
        <v>512659.28</v>
      </c>
      <c r="H19" s="18">
        <v>477574.63</v>
      </c>
      <c r="I19" s="18">
        <v>457022.26</v>
      </c>
      <c r="J19" s="18">
        <v>498317.45</v>
      </c>
      <c r="K19" s="18">
        <v>510616.25</v>
      </c>
      <c r="L19" s="18">
        <v>537993.04</v>
      </c>
      <c r="M19" s="18">
        <v>582442.85</v>
      </c>
      <c r="N19" s="18">
        <v>516721.98</v>
      </c>
      <c r="O19" s="18">
        <v>586115.31999999995</v>
      </c>
      <c r="P19" s="18">
        <v>548838.87</v>
      </c>
      <c r="Q19" s="18">
        <v>532163.36</v>
      </c>
      <c r="R19" s="18">
        <v>556597.78</v>
      </c>
      <c r="S19" s="18">
        <v>559822.4</v>
      </c>
      <c r="T19" s="18">
        <v>491518.71</v>
      </c>
      <c r="U19" s="18">
        <v>460420.94</v>
      </c>
      <c r="V19" s="18">
        <v>472343.56</v>
      </c>
      <c r="W19" s="18">
        <v>527415.91</v>
      </c>
      <c r="X19" s="18">
        <v>551787.6</v>
      </c>
      <c r="Y19" s="18">
        <v>611320.56000000006</v>
      </c>
      <c r="Z19" s="18">
        <v>606955.97</v>
      </c>
      <c r="AA19" s="18">
        <v>653853.17000000004</v>
      </c>
      <c r="AB19" s="18">
        <v>618507.16</v>
      </c>
      <c r="AC19" s="18">
        <v>637863.02</v>
      </c>
      <c r="AD19" s="18">
        <v>622079.72</v>
      </c>
      <c r="AE19" s="18">
        <v>598883.98</v>
      </c>
      <c r="AF19" s="18">
        <v>507056.69</v>
      </c>
      <c r="AG19" s="18">
        <v>497605.74</v>
      </c>
      <c r="AH19" s="18">
        <v>489574.5</v>
      </c>
      <c r="AI19" s="18">
        <v>495984.1</v>
      </c>
      <c r="AJ19" s="18">
        <f t="shared" si="0"/>
        <v>516721.98</v>
      </c>
      <c r="AK19" s="18">
        <f t="shared" si="1"/>
        <v>606955.97</v>
      </c>
      <c r="AL19" s="18">
        <f t="shared" si="2"/>
        <v>495984.1</v>
      </c>
    </row>
    <row r="20" spans="1:38" x14ac:dyDescent="0.2">
      <c r="A20" t="s">
        <v>499</v>
      </c>
      <c r="B20" s="8" t="s">
        <v>276</v>
      </c>
      <c r="C20" s="18">
        <v>8792.85</v>
      </c>
      <c r="D20" s="18">
        <v>8266.7099999999991</v>
      </c>
      <c r="E20" s="18">
        <v>5327.94</v>
      </c>
      <c r="F20" s="18">
        <v>3636.34</v>
      </c>
      <c r="G20" s="18">
        <v>6068.3</v>
      </c>
      <c r="H20" s="18">
        <v>5795.48</v>
      </c>
      <c r="I20" s="18">
        <v>5284.09</v>
      </c>
      <c r="J20" s="18">
        <v>6175.04</v>
      </c>
      <c r="K20" s="18">
        <v>5751.06</v>
      </c>
      <c r="L20" s="18">
        <v>5913.57</v>
      </c>
      <c r="M20" s="18">
        <v>6763.97</v>
      </c>
      <c r="N20" s="18">
        <v>6186.49</v>
      </c>
      <c r="O20" s="18">
        <v>6471.97</v>
      </c>
      <c r="P20" s="18">
        <v>7548.67</v>
      </c>
      <c r="Q20" s="18">
        <v>7796.67</v>
      </c>
      <c r="R20" s="18">
        <v>8126.01</v>
      </c>
      <c r="S20" s="18">
        <v>8656.7900000000009</v>
      </c>
      <c r="T20" s="18">
        <v>5763.07</v>
      </c>
      <c r="U20" s="18">
        <v>9953.49</v>
      </c>
      <c r="V20" s="18">
        <v>6097.05</v>
      </c>
      <c r="W20" s="18">
        <v>6073.99</v>
      </c>
      <c r="X20" s="18">
        <v>8018.56</v>
      </c>
      <c r="Y20" s="18">
        <v>8026.79</v>
      </c>
      <c r="Z20" s="18">
        <v>7529.67</v>
      </c>
      <c r="AA20" s="18">
        <v>7868.33</v>
      </c>
      <c r="AB20" s="18">
        <v>4628.6099999999997</v>
      </c>
      <c r="AC20" s="18">
        <v>7026.35</v>
      </c>
      <c r="AD20" s="18">
        <v>7187.39</v>
      </c>
      <c r="AE20" s="18">
        <v>8212.1200000000008</v>
      </c>
      <c r="AF20" s="18">
        <v>9129.7999999999993</v>
      </c>
      <c r="AG20" s="18">
        <v>6357.91</v>
      </c>
      <c r="AH20" s="18">
        <v>7143.83</v>
      </c>
      <c r="AI20" s="18">
        <v>7385.26</v>
      </c>
      <c r="AJ20" s="18">
        <f t="shared" si="0"/>
        <v>6186.49</v>
      </c>
      <c r="AK20" s="18">
        <f t="shared" si="1"/>
        <v>7529.67</v>
      </c>
      <c r="AL20" s="18">
        <f t="shared" si="2"/>
        <v>7385.26</v>
      </c>
    </row>
    <row r="21" spans="1:38" x14ac:dyDescent="0.2">
      <c r="A21" t="s">
        <v>279</v>
      </c>
      <c r="B21" s="8" t="s">
        <v>278</v>
      </c>
      <c r="C21" s="18">
        <v>15765.6</v>
      </c>
      <c r="D21" s="18">
        <v>22376.560000000001</v>
      </c>
      <c r="E21" s="18">
        <v>32257.43</v>
      </c>
      <c r="F21" s="18">
        <v>7012.84</v>
      </c>
      <c r="G21" s="18">
        <v>13741.42</v>
      </c>
      <c r="H21" s="18">
        <v>26948.67</v>
      </c>
      <c r="I21" s="18">
        <v>13949.87</v>
      </c>
      <c r="J21" s="18">
        <v>20552.939999999999</v>
      </c>
      <c r="K21" s="18">
        <v>33125.61</v>
      </c>
      <c r="L21" s="18">
        <v>6161.41</v>
      </c>
      <c r="M21" s="18">
        <v>22561.94</v>
      </c>
      <c r="N21" s="18">
        <v>30107.55</v>
      </c>
      <c r="O21" s="18">
        <v>12287.6</v>
      </c>
      <c r="P21" s="18">
        <v>19356.849999999999</v>
      </c>
      <c r="Q21" s="18">
        <v>26095.56</v>
      </c>
      <c r="R21" s="18">
        <v>9106.81</v>
      </c>
      <c r="S21" s="18">
        <v>25279.26</v>
      </c>
      <c r="T21" s="18">
        <v>38995.040000000001</v>
      </c>
      <c r="U21" s="18">
        <v>11459.1</v>
      </c>
      <c r="V21" s="18">
        <v>22937.22</v>
      </c>
      <c r="W21" s="18">
        <v>29510.87</v>
      </c>
      <c r="X21" s="18">
        <v>13780.83</v>
      </c>
      <c r="Y21" s="18">
        <v>29191.7</v>
      </c>
      <c r="Z21" s="18">
        <v>31594.17</v>
      </c>
      <c r="AA21" s="18">
        <v>18975.13</v>
      </c>
      <c r="AB21" s="18">
        <v>24808.01</v>
      </c>
      <c r="AC21" s="18">
        <v>34566.22</v>
      </c>
      <c r="AD21" s="18">
        <v>9525.4500000000007</v>
      </c>
      <c r="AE21" s="18">
        <v>24990.720000000001</v>
      </c>
      <c r="AF21" s="18">
        <v>40655.949999999997</v>
      </c>
      <c r="AG21" s="18">
        <v>15557.91</v>
      </c>
      <c r="AH21" s="18">
        <v>22216.45</v>
      </c>
      <c r="AI21" s="18">
        <v>36831.760000000002</v>
      </c>
      <c r="AJ21" s="18">
        <f t="shared" si="0"/>
        <v>30107.55</v>
      </c>
      <c r="AK21" s="18">
        <f t="shared" si="1"/>
        <v>31594.17</v>
      </c>
      <c r="AL21" s="18">
        <f t="shared" si="2"/>
        <v>36831.760000000002</v>
      </c>
    </row>
    <row r="22" spans="1:38" x14ac:dyDescent="0.2">
      <c r="A22" t="s">
        <v>281</v>
      </c>
      <c r="B22" s="8" t="s">
        <v>280</v>
      </c>
      <c r="C22" s="18">
        <v>47149.8</v>
      </c>
      <c r="D22" s="18">
        <v>48351.05</v>
      </c>
      <c r="E22" s="18">
        <v>14695.04</v>
      </c>
      <c r="F22" s="18">
        <v>15490.64</v>
      </c>
      <c r="G22" s="18">
        <v>20125.38</v>
      </c>
      <c r="H22" s="18">
        <v>27091.919999999998</v>
      </c>
      <c r="I22" s="18">
        <v>35403.49</v>
      </c>
      <c r="J22" s="18">
        <v>39453.06</v>
      </c>
      <c r="K22" s="18">
        <v>42849.87</v>
      </c>
      <c r="L22" s="18">
        <v>43005.54</v>
      </c>
      <c r="M22" s="18">
        <v>52452.38</v>
      </c>
      <c r="N22" s="18">
        <v>56820.63</v>
      </c>
      <c r="O22" s="18">
        <v>60911.19</v>
      </c>
      <c r="P22" s="18">
        <v>62049.7</v>
      </c>
      <c r="Q22" s="18">
        <v>14855.57</v>
      </c>
      <c r="R22" s="18">
        <v>18530.62</v>
      </c>
      <c r="S22" s="18">
        <v>28995.01</v>
      </c>
      <c r="T22" s="18">
        <v>37520.42</v>
      </c>
      <c r="U22" s="18">
        <v>45472.84</v>
      </c>
      <c r="V22" s="18">
        <v>53727.6</v>
      </c>
      <c r="W22" s="18">
        <v>58119.05</v>
      </c>
      <c r="X22" s="18">
        <v>69879.289999999994</v>
      </c>
      <c r="Y22" s="18">
        <v>93046.58</v>
      </c>
      <c r="Z22" s="18">
        <v>96948.73</v>
      </c>
      <c r="AA22" s="18">
        <v>104982.39999999999</v>
      </c>
      <c r="AB22" s="18">
        <v>106509.29</v>
      </c>
      <c r="AC22" s="18">
        <v>19063.47</v>
      </c>
      <c r="AD22" s="18">
        <v>25529.68</v>
      </c>
      <c r="AE22" s="18">
        <v>37737.440000000002</v>
      </c>
      <c r="AF22" s="18">
        <v>50501.47</v>
      </c>
      <c r="AG22" s="18">
        <v>65915.53</v>
      </c>
      <c r="AH22" s="18">
        <v>79116.820000000007</v>
      </c>
      <c r="AI22" s="18">
        <v>92289.97</v>
      </c>
      <c r="AJ22" s="18">
        <f t="shared" si="0"/>
        <v>56820.63</v>
      </c>
      <c r="AK22" s="18">
        <f t="shared" si="1"/>
        <v>96948.73</v>
      </c>
      <c r="AL22" s="18">
        <f t="shared" si="2"/>
        <v>92289.97</v>
      </c>
    </row>
    <row r="23" spans="1:38" x14ac:dyDescent="0.2">
      <c r="A23" t="s">
        <v>283</v>
      </c>
      <c r="B23" s="8" t="s">
        <v>282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f t="shared" si="0"/>
        <v>0</v>
      </c>
      <c r="AK23" s="18">
        <f t="shared" si="1"/>
        <v>0</v>
      </c>
      <c r="AL23" s="18">
        <f t="shared" si="2"/>
        <v>0</v>
      </c>
    </row>
    <row r="24" spans="1:38" x14ac:dyDescent="0.2">
      <c r="A24" t="s">
        <v>285</v>
      </c>
      <c r="B24" s="8" t="s">
        <v>284</v>
      </c>
      <c r="C24" s="18">
        <v>125000.04</v>
      </c>
      <c r="D24" s="18">
        <v>125000.04</v>
      </c>
      <c r="E24" s="18">
        <v>125000.04</v>
      </c>
      <c r="F24" s="18">
        <v>125000.04</v>
      </c>
      <c r="G24" s="18">
        <v>125000.04</v>
      </c>
      <c r="H24" s="18">
        <v>125000.04</v>
      </c>
      <c r="I24" s="18">
        <v>125000.04</v>
      </c>
      <c r="J24" s="18">
        <v>125000.04</v>
      </c>
      <c r="K24" s="18">
        <v>125000.04</v>
      </c>
      <c r="L24" s="18">
        <v>125000.04</v>
      </c>
      <c r="M24" s="18">
        <v>125000.04</v>
      </c>
      <c r="N24" s="18">
        <v>125000.04</v>
      </c>
      <c r="O24" s="18">
        <v>125000.04</v>
      </c>
      <c r="P24" s="18">
        <v>125000.04</v>
      </c>
      <c r="Q24" s="18">
        <v>125000.04</v>
      </c>
      <c r="R24" s="18">
        <v>125000.04</v>
      </c>
      <c r="S24" s="18">
        <v>125000.04</v>
      </c>
      <c r="T24" s="18">
        <v>125000.04</v>
      </c>
      <c r="U24" s="18">
        <v>125000.04</v>
      </c>
      <c r="V24" s="18">
        <v>125000.04</v>
      </c>
      <c r="W24" s="18">
        <v>125000.04</v>
      </c>
      <c r="X24" s="18">
        <v>125000.04</v>
      </c>
      <c r="Y24" s="18">
        <v>125000.04</v>
      </c>
      <c r="Z24" s="18">
        <v>125000.04</v>
      </c>
      <c r="AA24" s="18">
        <v>125000.04</v>
      </c>
      <c r="AB24" s="18">
        <v>125000.04</v>
      </c>
      <c r="AC24" s="18">
        <v>125000.04</v>
      </c>
      <c r="AD24" s="18">
        <v>125000.04</v>
      </c>
      <c r="AE24" s="18">
        <v>125000.04</v>
      </c>
      <c r="AF24" s="18">
        <v>125000.04</v>
      </c>
      <c r="AG24" s="18">
        <v>125000.04</v>
      </c>
      <c r="AH24" s="18">
        <v>125000.04</v>
      </c>
      <c r="AI24" s="18">
        <v>125000.04</v>
      </c>
      <c r="AJ24" s="18">
        <f t="shared" si="0"/>
        <v>125000.04</v>
      </c>
      <c r="AK24" s="18">
        <f t="shared" si="1"/>
        <v>125000.04</v>
      </c>
      <c r="AL24" s="18">
        <f t="shared" si="2"/>
        <v>125000.04</v>
      </c>
    </row>
    <row r="25" spans="1:38" x14ac:dyDescent="0.2">
      <c r="A25" s="16" t="s">
        <v>287</v>
      </c>
      <c r="B25" s="16" t="s">
        <v>286</v>
      </c>
      <c r="C25" s="17">
        <f t="shared" ref="C25:AI25" si="6">C17+C18+C19+C20+C21+C22+C23+C24</f>
        <v>1332862.4600000002</v>
      </c>
      <c r="D25" s="17">
        <f t="shared" si="6"/>
        <v>1228867.33</v>
      </c>
      <c r="E25" s="17">
        <f t="shared" si="6"/>
        <v>1138942.9099999999</v>
      </c>
      <c r="F25" s="17">
        <f t="shared" si="6"/>
        <v>1193411.1499999999</v>
      </c>
      <c r="G25" s="17">
        <f t="shared" si="6"/>
        <v>1225427.72</v>
      </c>
      <c r="H25" s="17">
        <f t="shared" si="6"/>
        <v>1162702.4200000002</v>
      </c>
      <c r="I25" s="17">
        <f t="shared" si="6"/>
        <v>1175672.97</v>
      </c>
      <c r="J25" s="17">
        <f t="shared" si="6"/>
        <v>1294887.51</v>
      </c>
      <c r="K25" s="17">
        <f t="shared" si="6"/>
        <v>1238216.2400000002</v>
      </c>
      <c r="L25" s="17">
        <f t="shared" si="6"/>
        <v>1275660.92</v>
      </c>
      <c r="M25" s="17">
        <f t="shared" si="6"/>
        <v>1346210.0999999999</v>
      </c>
      <c r="N25" s="17">
        <f t="shared" si="6"/>
        <v>1350771.3699999999</v>
      </c>
      <c r="O25" s="17">
        <f t="shared" si="6"/>
        <v>1391038.99</v>
      </c>
      <c r="P25" s="17">
        <f t="shared" si="6"/>
        <v>1349566.6199999999</v>
      </c>
      <c r="Q25" s="17">
        <f t="shared" si="6"/>
        <v>1419460.98</v>
      </c>
      <c r="R25" s="17">
        <f t="shared" si="6"/>
        <v>1342473.11</v>
      </c>
      <c r="S25" s="17">
        <f t="shared" si="6"/>
        <v>1379918.9900000002</v>
      </c>
      <c r="T25" s="17">
        <f t="shared" si="6"/>
        <v>1284292.53</v>
      </c>
      <c r="U25" s="17">
        <f t="shared" si="6"/>
        <v>1239200.5400000003</v>
      </c>
      <c r="V25" s="17">
        <f t="shared" si="6"/>
        <v>1280728.6600000001</v>
      </c>
      <c r="W25" s="17">
        <f t="shared" si="6"/>
        <v>1370000.6300000001</v>
      </c>
      <c r="X25" s="17">
        <f t="shared" si="6"/>
        <v>1326059.6700000002</v>
      </c>
      <c r="Y25" s="17">
        <f t="shared" si="6"/>
        <v>1503613.78</v>
      </c>
      <c r="Z25" s="17">
        <f t="shared" si="6"/>
        <v>1598382.66</v>
      </c>
      <c r="AA25" s="17">
        <f t="shared" si="6"/>
        <v>1530535.9</v>
      </c>
      <c r="AB25" s="17">
        <f t="shared" si="6"/>
        <v>1551370.7200000002</v>
      </c>
      <c r="AC25" s="17">
        <f t="shared" si="6"/>
        <v>1553516.57</v>
      </c>
      <c r="AD25" s="17">
        <f t="shared" si="6"/>
        <v>1465806.6299999997</v>
      </c>
      <c r="AE25" s="17">
        <f t="shared" si="6"/>
        <v>1443797.09</v>
      </c>
      <c r="AF25" s="17">
        <f t="shared" si="6"/>
        <v>1411020.46</v>
      </c>
      <c r="AG25" s="17">
        <f t="shared" si="6"/>
        <v>1303298.8399999999</v>
      </c>
      <c r="AH25" s="17">
        <f t="shared" si="6"/>
        <v>1421765.86</v>
      </c>
      <c r="AI25" s="17">
        <f t="shared" si="6"/>
        <v>1339577.8299999998</v>
      </c>
      <c r="AJ25" s="17">
        <f t="shared" si="0"/>
        <v>1350771.3699999999</v>
      </c>
      <c r="AK25" s="17">
        <f t="shared" si="1"/>
        <v>1598382.66</v>
      </c>
      <c r="AL25" s="17">
        <f t="shared" si="2"/>
        <v>1339577.8299999998</v>
      </c>
    </row>
    <row r="26" spans="1:38" x14ac:dyDescent="0.2">
      <c r="A26" t="s">
        <v>289</v>
      </c>
      <c r="B26" s="8" t="s">
        <v>288</v>
      </c>
      <c r="C26" s="18">
        <v>364583.29</v>
      </c>
      <c r="D26" s="18">
        <v>354166.62</v>
      </c>
      <c r="E26" s="18">
        <v>343749.95</v>
      </c>
      <c r="F26" s="18">
        <v>333333.28000000003</v>
      </c>
      <c r="G26" s="18">
        <v>322916.61</v>
      </c>
      <c r="H26" s="18">
        <v>312499.94</v>
      </c>
      <c r="I26" s="18">
        <v>302083.27</v>
      </c>
      <c r="J26" s="18">
        <v>291666.59999999998</v>
      </c>
      <c r="K26" s="18">
        <v>281249.93</v>
      </c>
      <c r="L26" s="18">
        <v>270833.26</v>
      </c>
      <c r="M26" s="18">
        <v>260416.59</v>
      </c>
      <c r="N26" s="18">
        <v>249999.92</v>
      </c>
      <c r="O26" s="18">
        <v>239583.25</v>
      </c>
      <c r="P26" s="18">
        <v>229166.58</v>
      </c>
      <c r="Q26" s="18">
        <v>218749.91</v>
      </c>
      <c r="R26" s="18">
        <v>208333.24</v>
      </c>
      <c r="S26" s="18">
        <v>197916.57</v>
      </c>
      <c r="T26" s="18">
        <v>187499.9</v>
      </c>
      <c r="U26" s="18">
        <v>177083.23</v>
      </c>
      <c r="V26" s="18">
        <v>166666.56</v>
      </c>
      <c r="W26" s="18">
        <v>156249.89000000001</v>
      </c>
      <c r="X26" s="18">
        <v>145833.22</v>
      </c>
      <c r="Y26" s="18">
        <v>135416.54999999999</v>
      </c>
      <c r="Z26" s="18">
        <v>124999.88</v>
      </c>
      <c r="AA26" s="18">
        <v>114583.21</v>
      </c>
      <c r="AB26" s="18">
        <v>104166.54</v>
      </c>
      <c r="AC26" s="18">
        <v>93749.87</v>
      </c>
      <c r="AD26" s="18">
        <v>83333.2</v>
      </c>
      <c r="AE26" s="18">
        <v>72916.53</v>
      </c>
      <c r="AF26" s="18">
        <v>62499.86</v>
      </c>
      <c r="AG26" s="18">
        <v>52083.19</v>
      </c>
      <c r="AH26" s="18">
        <v>41666.519999999997</v>
      </c>
      <c r="AI26" s="18">
        <v>31249.85</v>
      </c>
      <c r="AJ26" s="18">
        <f t="shared" si="0"/>
        <v>249999.92</v>
      </c>
      <c r="AK26" s="18">
        <f t="shared" si="1"/>
        <v>124999.88</v>
      </c>
      <c r="AL26" s="18">
        <f t="shared" si="2"/>
        <v>31249.85</v>
      </c>
    </row>
    <row r="27" spans="1:38" x14ac:dyDescent="0.2">
      <c r="A27" s="16" t="s">
        <v>291</v>
      </c>
      <c r="B27" s="16" t="s">
        <v>290</v>
      </c>
      <c r="C27" s="17">
        <f t="shared" ref="C27:AI27" si="7">C25+C26</f>
        <v>1697445.7500000002</v>
      </c>
      <c r="D27" s="17">
        <f t="shared" si="7"/>
        <v>1583033.9500000002</v>
      </c>
      <c r="E27" s="17">
        <f t="shared" si="7"/>
        <v>1482692.8599999999</v>
      </c>
      <c r="F27" s="17">
        <f t="shared" si="7"/>
        <v>1526744.43</v>
      </c>
      <c r="G27" s="17">
        <f t="shared" si="7"/>
        <v>1548344.33</v>
      </c>
      <c r="H27" s="17">
        <f t="shared" si="7"/>
        <v>1475202.36</v>
      </c>
      <c r="I27" s="17">
        <f t="shared" si="7"/>
        <v>1477756.24</v>
      </c>
      <c r="J27" s="17">
        <f t="shared" si="7"/>
        <v>1586554.1099999999</v>
      </c>
      <c r="K27" s="17">
        <f t="shared" si="7"/>
        <v>1519466.1700000002</v>
      </c>
      <c r="L27" s="17">
        <f t="shared" si="7"/>
        <v>1546494.18</v>
      </c>
      <c r="M27" s="17">
        <f t="shared" si="7"/>
        <v>1606626.69</v>
      </c>
      <c r="N27" s="17">
        <f t="shared" si="7"/>
        <v>1600771.2899999998</v>
      </c>
      <c r="O27" s="17">
        <f t="shared" si="7"/>
        <v>1630622.24</v>
      </c>
      <c r="P27" s="17">
        <f t="shared" si="7"/>
        <v>1578733.2</v>
      </c>
      <c r="Q27" s="17">
        <f t="shared" si="7"/>
        <v>1638210.89</v>
      </c>
      <c r="R27" s="17">
        <f t="shared" si="7"/>
        <v>1550806.35</v>
      </c>
      <c r="S27" s="17">
        <f t="shared" si="7"/>
        <v>1577835.5600000003</v>
      </c>
      <c r="T27" s="17">
        <f t="shared" si="7"/>
        <v>1471792.43</v>
      </c>
      <c r="U27" s="17">
        <f t="shared" si="7"/>
        <v>1416283.7700000003</v>
      </c>
      <c r="V27" s="17">
        <f t="shared" si="7"/>
        <v>1447395.2200000002</v>
      </c>
      <c r="W27" s="17">
        <f t="shared" si="7"/>
        <v>1526250.52</v>
      </c>
      <c r="X27" s="17">
        <f t="shared" si="7"/>
        <v>1471892.8900000001</v>
      </c>
      <c r="Y27" s="17">
        <f t="shared" si="7"/>
        <v>1639030.33</v>
      </c>
      <c r="Z27" s="17">
        <f t="shared" si="7"/>
        <v>1723382.54</v>
      </c>
      <c r="AA27" s="17">
        <f t="shared" si="7"/>
        <v>1645119.1099999999</v>
      </c>
      <c r="AB27" s="17">
        <f t="shared" si="7"/>
        <v>1655537.2600000002</v>
      </c>
      <c r="AC27" s="17">
        <f t="shared" si="7"/>
        <v>1647266.44</v>
      </c>
      <c r="AD27" s="17">
        <f t="shared" si="7"/>
        <v>1549139.8299999996</v>
      </c>
      <c r="AE27" s="17">
        <f t="shared" si="7"/>
        <v>1516713.62</v>
      </c>
      <c r="AF27" s="17">
        <f t="shared" si="7"/>
        <v>1473520.32</v>
      </c>
      <c r="AG27" s="17">
        <f t="shared" si="7"/>
        <v>1355382.0299999998</v>
      </c>
      <c r="AH27" s="17">
        <f t="shared" si="7"/>
        <v>1463432.3800000001</v>
      </c>
      <c r="AI27" s="17">
        <f t="shared" si="7"/>
        <v>1370827.68</v>
      </c>
      <c r="AJ27" s="17">
        <f t="shared" si="0"/>
        <v>1600771.2899999998</v>
      </c>
      <c r="AK27" s="17">
        <f t="shared" si="1"/>
        <v>1723382.54</v>
      </c>
      <c r="AL27" s="17">
        <f t="shared" si="2"/>
        <v>1370827.68</v>
      </c>
    </row>
    <row r="28" spans="1:38" x14ac:dyDescent="0.2">
      <c r="A28" t="s">
        <v>293</v>
      </c>
      <c r="B28" s="8" t="s">
        <v>292</v>
      </c>
      <c r="C28" s="18">
        <v>250000</v>
      </c>
      <c r="D28" s="18">
        <v>250000</v>
      </c>
      <c r="E28" s="18">
        <v>250000</v>
      </c>
      <c r="F28" s="18">
        <v>250000</v>
      </c>
      <c r="G28" s="18">
        <v>250000</v>
      </c>
      <c r="H28" s="18">
        <v>250000</v>
      </c>
      <c r="I28" s="18">
        <v>250000</v>
      </c>
      <c r="J28" s="18">
        <v>250000</v>
      </c>
      <c r="K28" s="18">
        <v>250000</v>
      </c>
      <c r="L28" s="18">
        <v>250000</v>
      </c>
      <c r="M28" s="18">
        <v>250000</v>
      </c>
      <c r="N28" s="18">
        <v>250000</v>
      </c>
      <c r="O28" s="18">
        <v>250000</v>
      </c>
      <c r="P28" s="18">
        <v>250000</v>
      </c>
      <c r="Q28" s="18">
        <v>250000</v>
      </c>
      <c r="R28" s="18">
        <v>250000</v>
      </c>
      <c r="S28" s="18">
        <v>250000</v>
      </c>
      <c r="T28" s="18">
        <v>250000</v>
      </c>
      <c r="U28" s="18">
        <v>250000</v>
      </c>
      <c r="V28" s="18">
        <v>250000</v>
      </c>
      <c r="W28" s="18">
        <v>250000</v>
      </c>
      <c r="X28" s="18">
        <v>250000</v>
      </c>
      <c r="Y28" s="18">
        <v>250000</v>
      </c>
      <c r="Z28" s="18">
        <v>250000</v>
      </c>
      <c r="AA28" s="18">
        <v>250000</v>
      </c>
      <c r="AB28" s="18">
        <v>250000</v>
      </c>
      <c r="AC28" s="18">
        <v>250000</v>
      </c>
      <c r="AD28" s="18">
        <v>250000</v>
      </c>
      <c r="AE28" s="18">
        <v>250000</v>
      </c>
      <c r="AF28" s="18">
        <v>250000</v>
      </c>
      <c r="AG28" s="18">
        <v>250000</v>
      </c>
      <c r="AH28" s="18">
        <v>250000</v>
      </c>
      <c r="AI28" s="18">
        <v>250000</v>
      </c>
      <c r="AJ28" s="18">
        <f t="shared" si="0"/>
        <v>250000</v>
      </c>
      <c r="AK28" s="18">
        <f t="shared" si="1"/>
        <v>250000</v>
      </c>
      <c r="AL28" s="18">
        <f t="shared" si="2"/>
        <v>250000</v>
      </c>
    </row>
    <row r="29" spans="1:38" x14ac:dyDescent="0.2">
      <c r="A29" t="s">
        <v>295</v>
      </c>
      <c r="B29" s="8" t="s">
        <v>294</v>
      </c>
      <c r="C29" s="18">
        <v>138578.32999999999</v>
      </c>
      <c r="D29" s="18">
        <v>138578.32999999999</v>
      </c>
      <c r="E29" s="18">
        <v>138578.32999999999</v>
      </c>
      <c r="F29" s="18">
        <v>138578.32999999999</v>
      </c>
      <c r="G29" s="18">
        <v>138578.32999999999</v>
      </c>
      <c r="H29" s="18">
        <v>138578.32999999999</v>
      </c>
      <c r="I29" s="18">
        <v>138578.32999999999</v>
      </c>
      <c r="J29" s="18">
        <v>138578.32999999999</v>
      </c>
      <c r="K29" s="18">
        <v>138578.32999999999</v>
      </c>
      <c r="L29" s="18">
        <v>138578.32999999999</v>
      </c>
      <c r="M29" s="18">
        <v>138578.32999999999</v>
      </c>
      <c r="N29" s="18">
        <v>364673.5</v>
      </c>
      <c r="O29" s="18">
        <v>364673.5</v>
      </c>
      <c r="P29" s="18">
        <v>364673.5</v>
      </c>
      <c r="Q29" s="18">
        <v>364673.5</v>
      </c>
      <c r="R29" s="18">
        <v>364673.5</v>
      </c>
      <c r="S29" s="18">
        <v>364673.5</v>
      </c>
      <c r="T29" s="18">
        <v>364673.5</v>
      </c>
      <c r="U29" s="18">
        <v>364673.5</v>
      </c>
      <c r="V29" s="18">
        <v>364673.5</v>
      </c>
      <c r="W29" s="18">
        <v>364673.5</v>
      </c>
      <c r="X29" s="18">
        <v>364673.5</v>
      </c>
      <c r="Y29" s="18">
        <v>364673.5</v>
      </c>
      <c r="Z29" s="18">
        <v>658110.56000000006</v>
      </c>
      <c r="AA29" s="18">
        <v>658110.56000000006</v>
      </c>
      <c r="AB29" s="18">
        <v>658110.56000000006</v>
      </c>
      <c r="AC29" s="18">
        <v>658110.56000000006</v>
      </c>
      <c r="AD29" s="18">
        <v>658110.56000000006</v>
      </c>
      <c r="AE29" s="18">
        <v>658110.56000000006</v>
      </c>
      <c r="AF29" s="18">
        <v>658110.56000000006</v>
      </c>
      <c r="AG29" s="18">
        <v>658110.56000000006</v>
      </c>
      <c r="AH29" s="18">
        <v>658110.56000000006</v>
      </c>
      <c r="AI29" s="18">
        <v>658110.56000000006</v>
      </c>
      <c r="AJ29" s="18">
        <f t="shared" si="0"/>
        <v>364673.5</v>
      </c>
      <c r="AK29" s="18">
        <f t="shared" si="1"/>
        <v>658110.56000000006</v>
      </c>
      <c r="AL29" s="18">
        <f t="shared" si="2"/>
        <v>658110.56000000006</v>
      </c>
    </row>
    <row r="30" spans="1:38" x14ac:dyDescent="0.2">
      <c r="A30" t="s">
        <v>297</v>
      </c>
      <c r="B30" s="8" t="s">
        <v>296</v>
      </c>
      <c r="C30" s="18">
        <v>74030.2</v>
      </c>
      <c r="D30" s="18">
        <v>83749.37</v>
      </c>
      <c r="E30" s="18">
        <v>118896.23</v>
      </c>
      <c r="F30" s="18">
        <v>125333.34</v>
      </c>
      <c r="G30" s="18">
        <v>162832.6</v>
      </c>
      <c r="H30" s="18">
        <v>219198.22</v>
      </c>
      <c r="I30" s="18">
        <v>286446.40000000002</v>
      </c>
      <c r="J30" s="18">
        <v>319211.09000000003</v>
      </c>
      <c r="K30" s="18">
        <v>346694.39</v>
      </c>
      <c r="L30" s="18">
        <v>347953.88</v>
      </c>
      <c r="M30" s="18">
        <v>424387.44</v>
      </c>
      <c r="N30" s="18">
        <v>0</v>
      </c>
      <c r="O30" s="18">
        <v>33096.39</v>
      </c>
      <c r="P30" s="18">
        <v>42307.95</v>
      </c>
      <c r="Q30" s="18">
        <v>120195.08</v>
      </c>
      <c r="R30" s="18">
        <v>149929.54</v>
      </c>
      <c r="S30" s="18">
        <v>234596.02</v>
      </c>
      <c r="T30" s="18">
        <v>303574.34000000003</v>
      </c>
      <c r="U30" s="18">
        <v>367916.59</v>
      </c>
      <c r="V30" s="18">
        <v>434705.11</v>
      </c>
      <c r="W30" s="18">
        <v>455442.05</v>
      </c>
      <c r="X30" s="18">
        <v>494813.28</v>
      </c>
      <c r="Y30" s="18">
        <v>572373.35</v>
      </c>
      <c r="Z30" s="18">
        <v>0</v>
      </c>
      <c r="AA30" s="18">
        <v>64999.65</v>
      </c>
      <c r="AB30" s="18">
        <v>77353.600000000006</v>
      </c>
      <c r="AC30" s="18">
        <v>154240.82999999999</v>
      </c>
      <c r="AD30" s="18">
        <v>206558.34</v>
      </c>
      <c r="AE30" s="18">
        <v>305330.19</v>
      </c>
      <c r="AF30" s="18">
        <v>408602.76</v>
      </c>
      <c r="AG30" s="18">
        <v>481543.29</v>
      </c>
      <c r="AH30" s="18">
        <v>525738.91</v>
      </c>
      <c r="AI30" s="18">
        <v>569840.35</v>
      </c>
      <c r="AJ30" s="18">
        <f t="shared" si="0"/>
        <v>0</v>
      </c>
      <c r="AK30" s="18">
        <f t="shared" si="1"/>
        <v>0</v>
      </c>
      <c r="AL30" s="18">
        <f t="shared" si="2"/>
        <v>569840.35</v>
      </c>
    </row>
    <row r="31" spans="1:38" x14ac:dyDescent="0.2">
      <c r="A31" s="16" t="s">
        <v>299</v>
      </c>
      <c r="B31" s="16" t="s">
        <v>298</v>
      </c>
      <c r="C31" s="17">
        <f t="shared" ref="C31:AI31" si="8">C28+C29+C30</f>
        <v>462608.52999999997</v>
      </c>
      <c r="D31" s="17">
        <f t="shared" si="8"/>
        <v>472327.69999999995</v>
      </c>
      <c r="E31" s="17">
        <f t="shared" si="8"/>
        <v>507474.55999999994</v>
      </c>
      <c r="F31" s="17">
        <f t="shared" si="8"/>
        <v>513911.66999999993</v>
      </c>
      <c r="G31" s="17">
        <f t="shared" si="8"/>
        <v>551410.92999999993</v>
      </c>
      <c r="H31" s="17">
        <f t="shared" si="8"/>
        <v>607776.54999999993</v>
      </c>
      <c r="I31" s="17">
        <f t="shared" si="8"/>
        <v>675024.73</v>
      </c>
      <c r="J31" s="17">
        <f t="shared" si="8"/>
        <v>707789.41999999993</v>
      </c>
      <c r="K31" s="17">
        <f t="shared" si="8"/>
        <v>735272.72</v>
      </c>
      <c r="L31" s="17">
        <f t="shared" si="8"/>
        <v>736532.21</v>
      </c>
      <c r="M31" s="17">
        <f t="shared" si="8"/>
        <v>812965.77</v>
      </c>
      <c r="N31" s="17">
        <f t="shared" si="8"/>
        <v>614673.5</v>
      </c>
      <c r="O31" s="17">
        <f t="shared" si="8"/>
        <v>647769.89</v>
      </c>
      <c r="P31" s="17">
        <f t="shared" si="8"/>
        <v>656981.44999999995</v>
      </c>
      <c r="Q31" s="17">
        <f t="shared" si="8"/>
        <v>734868.58</v>
      </c>
      <c r="R31" s="17">
        <f t="shared" si="8"/>
        <v>764603.04</v>
      </c>
      <c r="S31" s="17">
        <f t="shared" si="8"/>
        <v>849269.52</v>
      </c>
      <c r="T31" s="17">
        <f t="shared" si="8"/>
        <v>918247.84000000008</v>
      </c>
      <c r="U31" s="17">
        <f t="shared" si="8"/>
        <v>982590.09000000008</v>
      </c>
      <c r="V31" s="17">
        <f t="shared" si="8"/>
        <v>1049378.6099999999</v>
      </c>
      <c r="W31" s="17">
        <f t="shared" si="8"/>
        <v>1070115.55</v>
      </c>
      <c r="X31" s="17">
        <f t="shared" si="8"/>
        <v>1109486.78</v>
      </c>
      <c r="Y31" s="17">
        <f t="shared" si="8"/>
        <v>1187046.8500000001</v>
      </c>
      <c r="Z31" s="17">
        <f t="shared" si="8"/>
        <v>908110.56</v>
      </c>
      <c r="AA31" s="17">
        <f t="shared" si="8"/>
        <v>973110.21000000008</v>
      </c>
      <c r="AB31" s="17">
        <f t="shared" si="8"/>
        <v>985464.16</v>
      </c>
      <c r="AC31" s="17">
        <f t="shared" si="8"/>
        <v>1062351.3900000001</v>
      </c>
      <c r="AD31" s="17">
        <f t="shared" si="8"/>
        <v>1114668.9000000001</v>
      </c>
      <c r="AE31" s="17">
        <f t="shared" si="8"/>
        <v>1213440.75</v>
      </c>
      <c r="AF31" s="17">
        <f t="shared" si="8"/>
        <v>1316713.32</v>
      </c>
      <c r="AG31" s="17">
        <f t="shared" si="8"/>
        <v>1389653.85</v>
      </c>
      <c r="AH31" s="17">
        <f t="shared" si="8"/>
        <v>1433849.4700000002</v>
      </c>
      <c r="AI31" s="17">
        <f t="shared" si="8"/>
        <v>1477950.9100000001</v>
      </c>
      <c r="AJ31" s="17">
        <f t="shared" si="0"/>
        <v>614673.5</v>
      </c>
      <c r="AK31" s="17">
        <f t="shared" si="1"/>
        <v>908110.56</v>
      </c>
      <c r="AL31" s="17">
        <f t="shared" si="2"/>
        <v>1477950.9100000001</v>
      </c>
    </row>
    <row r="32" spans="1:38" x14ac:dyDescent="0.2">
      <c r="A32" s="16" t="s">
        <v>301</v>
      </c>
      <c r="B32" s="16" t="s">
        <v>300</v>
      </c>
      <c r="C32" s="17">
        <f t="shared" ref="C32:AI32" si="9">C27+C31</f>
        <v>2160054.2800000003</v>
      </c>
      <c r="D32" s="17">
        <f t="shared" si="9"/>
        <v>2055361.6500000001</v>
      </c>
      <c r="E32" s="17">
        <f t="shared" si="9"/>
        <v>1990167.42</v>
      </c>
      <c r="F32" s="17">
        <f t="shared" si="9"/>
        <v>2040656.0999999999</v>
      </c>
      <c r="G32" s="17">
        <f t="shared" si="9"/>
        <v>2099755.2599999998</v>
      </c>
      <c r="H32" s="17">
        <f t="shared" si="9"/>
        <v>2082978.9100000001</v>
      </c>
      <c r="I32" s="17">
        <f t="shared" si="9"/>
        <v>2152780.9699999997</v>
      </c>
      <c r="J32" s="17">
        <f t="shared" si="9"/>
        <v>2294343.5299999998</v>
      </c>
      <c r="K32" s="17">
        <f t="shared" si="9"/>
        <v>2254738.89</v>
      </c>
      <c r="L32" s="17">
        <f t="shared" si="9"/>
        <v>2283026.3899999997</v>
      </c>
      <c r="M32" s="17">
        <f t="shared" si="9"/>
        <v>2419592.46</v>
      </c>
      <c r="N32" s="17">
        <f t="shared" si="9"/>
        <v>2215444.79</v>
      </c>
      <c r="O32" s="17">
        <f t="shared" si="9"/>
        <v>2278392.13</v>
      </c>
      <c r="P32" s="17">
        <f t="shared" si="9"/>
        <v>2235714.65</v>
      </c>
      <c r="Q32" s="17">
        <f t="shared" si="9"/>
        <v>2373079.4699999997</v>
      </c>
      <c r="R32" s="17">
        <f t="shared" si="9"/>
        <v>2315409.39</v>
      </c>
      <c r="S32" s="17">
        <f t="shared" si="9"/>
        <v>2427105.08</v>
      </c>
      <c r="T32" s="17">
        <f t="shared" si="9"/>
        <v>2390040.27</v>
      </c>
      <c r="U32" s="17">
        <f t="shared" si="9"/>
        <v>2398873.8600000003</v>
      </c>
      <c r="V32" s="17">
        <f t="shared" si="9"/>
        <v>2496773.83</v>
      </c>
      <c r="W32" s="17">
        <f t="shared" si="9"/>
        <v>2596366.0700000003</v>
      </c>
      <c r="X32" s="17">
        <f t="shared" si="9"/>
        <v>2581379.67</v>
      </c>
      <c r="Y32" s="17">
        <f t="shared" si="9"/>
        <v>2826077.18</v>
      </c>
      <c r="Z32" s="17">
        <f t="shared" si="9"/>
        <v>2631493.1</v>
      </c>
      <c r="AA32" s="17">
        <f t="shared" si="9"/>
        <v>2618229.3199999998</v>
      </c>
      <c r="AB32" s="17">
        <f t="shared" si="9"/>
        <v>2641001.4200000004</v>
      </c>
      <c r="AC32" s="17">
        <f t="shared" si="9"/>
        <v>2709617.83</v>
      </c>
      <c r="AD32" s="17">
        <f t="shared" si="9"/>
        <v>2663808.7299999995</v>
      </c>
      <c r="AE32" s="17">
        <f t="shared" si="9"/>
        <v>2730154.37</v>
      </c>
      <c r="AF32" s="17">
        <f t="shared" si="9"/>
        <v>2790233.64</v>
      </c>
      <c r="AG32" s="17">
        <f t="shared" si="9"/>
        <v>2745035.88</v>
      </c>
      <c r="AH32" s="17">
        <f t="shared" si="9"/>
        <v>2897281.8500000006</v>
      </c>
      <c r="AI32" s="17">
        <f t="shared" si="9"/>
        <v>2848778.59</v>
      </c>
      <c r="AJ32" s="17">
        <f t="shared" si="0"/>
        <v>2215444.79</v>
      </c>
      <c r="AK32" s="17">
        <f t="shared" si="1"/>
        <v>2631493.1</v>
      </c>
      <c r="AL32" s="17">
        <f t="shared" si="2"/>
        <v>2848778.59</v>
      </c>
    </row>
    <row r="33" spans="1:38" x14ac:dyDescent="0.2">
      <c r="A33" s="16" t="s">
        <v>500</v>
      </c>
      <c r="B33" s="16" t="s">
        <v>501</v>
      </c>
      <c r="C33" s="17">
        <f t="shared" ref="C33:AI33" si="10">ROUND(C16-C32,2)</f>
        <v>0</v>
      </c>
      <c r="D33" s="17">
        <f t="shared" si="10"/>
        <v>0</v>
      </c>
      <c r="E33" s="17">
        <f t="shared" si="10"/>
        <v>0</v>
      </c>
      <c r="F33" s="17">
        <f t="shared" si="10"/>
        <v>0</v>
      </c>
      <c r="G33" s="17">
        <f t="shared" si="10"/>
        <v>0</v>
      </c>
      <c r="H33" s="17">
        <f t="shared" si="10"/>
        <v>0</v>
      </c>
      <c r="I33" s="17">
        <f t="shared" si="10"/>
        <v>0</v>
      </c>
      <c r="J33" s="17">
        <f t="shared" si="10"/>
        <v>0</v>
      </c>
      <c r="K33" s="17">
        <f t="shared" si="10"/>
        <v>0</v>
      </c>
      <c r="L33" s="17">
        <f t="shared" si="10"/>
        <v>0</v>
      </c>
      <c r="M33" s="17">
        <f t="shared" si="10"/>
        <v>0</v>
      </c>
      <c r="N33" s="17">
        <f t="shared" si="10"/>
        <v>0</v>
      </c>
      <c r="O33" s="17">
        <f t="shared" si="10"/>
        <v>0</v>
      </c>
      <c r="P33" s="17">
        <f t="shared" si="10"/>
        <v>0</v>
      </c>
      <c r="Q33" s="17">
        <f t="shared" si="10"/>
        <v>0</v>
      </c>
      <c r="R33" s="17">
        <f t="shared" si="10"/>
        <v>0</v>
      </c>
      <c r="S33" s="17">
        <f t="shared" si="10"/>
        <v>0</v>
      </c>
      <c r="T33" s="17">
        <f t="shared" si="10"/>
        <v>0</v>
      </c>
      <c r="U33" s="17">
        <f t="shared" si="10"/>
        <v>0</v>
      </c>
      <c r="V33" s="17">
        <f t="shared" si="10"/>
        <v>0</v>
      </c>
      <c r="W33" s="17">
        <f t="shared" si="10"/>
        <v>0</v>
      </c>
      <c r="X33" s="17">
        <f t="shared" si="10"/>
        <v>0</v>
      </c>
      <c r="Y33" s="17">
        <f t="shared" si="10"/>
        <v>0</v>
      </c>
      <c r="Z33" s="17">
        <f t="shared" si="10"/>
        <v>0</v>
      </c>
      <c r="AA33" s="17">
        <f t="shared" si="10"/>
        <v>0</v>
      </c>
      <c r="AB33" s="17">
        <f t="shared" si="10"/>
        <v>0</v>
      </c>
      <c r="AC33" s="17">
        <f t="shared" si="10"/>
        <v>0</v>
      </c>
      <c r="AD33" s="17">
        <f t="shared" si="10"/>
        <v>0</v>
      </c>
      <c r="AE33" s="17">
        <f t="shared" si="10"/>
        <v>0</v>
      </c>
      <c r="AF33" s="17">
        <f t="shared" si="10"/>
        <v>0</v>
      </c>
      <c r="AG33" s="17">
        <f t="shared" si="10"/>
        <v>0</v>
      </c>
      <c r="AH33" s="17">
        <f t="shared" si="10"/>
        <v>0</v>
      </c>
      <c r="AI33" s="17">
        <f t="shared" si="10"/>
        <v>0</v>
      </c>
      <c r="AJ33" s="17">
        <f t="shared" si="0"/>
        <v>0</v>
      </c>
      <c r="AK33" s="17">
        <f t="shared" si="1"/>
        <v>0</v>
      </c>
      <c r="AL33" s="17">
        <f t="shared" si="2"/>
        <v>0</v>
      </c>
    </row>
  </sheetData>
  <mergeCells count="1">
    <mergeCell ref="A1:A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25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19" x14ac:dyDescent="0.25">
      <c r="A2" s="1" t="s">
        <v>502</v>
      </c>
    </row>
    <row r="3" spans="1:40" x14ac:dyDescent="0.2">
      <c r="A3" s="2" t="s">
        <v>436</v>
      </c>
    </row>
    <row r="5" spans="1:40" ht="32" x14ac:dyDescent="0.2">
      <c r="A5" s="6" t="s">
        <v>144</v>
      </c>
      <c r="B5" s="7" t="s">
        <v>24</v>
      </c>
      <c r="C5" s="7" t="s">
        <v>437</v>
      </c>
      <c r="D5" s="7" t="s">
        <v>438</v>
      </c>
      <c r="E5" s="7" t="s">
        <v>439</v>
      </c>
      <c r="F5" s="7" t="s">
        <v>440</v>
      </c>
      <c r="G5" s="7" t="s">
        <v>441</v>
      </c>
      <c r="H5" s="7" t="s">
        <v>442</v>
      </c>
      <c r="I5" s="7" t="s">
        <v>443</v>
      </c>
      <c r="J5" s="7" t="s">
        <v>444</v>
      </c>
      <c r="K5" s="7" t="s">
        <v>445</v>
      </c>
      <c r="L5" s="7" t="s">
        <v>446</v>
      </c>
      <c r="M5" s="7" t="s">
        <v>447</v>
      </c>
      <c r="N5" s="7" t="s">
        <v>448</v>
      </c>
      <c r="O5" s="7" t="s">
        <v>449</v>
      </c>
      <c r="P5" s="7" t="s">
        <v>450</v>
      </c>
      <c r="Q5" s="7" t="s">
        <v>451</v>
      </c>
      <c r="R5" s="7" t="s">
        <v>452</v>
      </c>
      <c r="S5" s="7" t="s">
        <v>453</v>
      </c>
      <c r="T5" s="7" t="s">
        <v>454</v>
      </c>
      <c r="U5" s="7" t="s">
        <v>455</v>
      </c>
      <c r="V5" s="7" t="s">
        <v>456</v>
      </c>
      <c r="W5" s="7" t="s">
        <v>457</v>
      </c>
      <c r="X5" s="7" t="s">
        <v>458</v>
      </c>
      <c r="Y5" s="7" t="s">
        <v>459</v>
      </c>
      <c r="Z5" s="7" t="s">
        <v>460</v>
      </c>
      <c r="AA5" s="7" t="s">
        <v>461</v>
      </c>
      <c r="AB5" s="7" t="s">
        <v>462</v>
      </c>
      <c r="AC5" s="7" t="s">
        <v>463</v>
      </c>
      <c r="AD5" s="7" t="s">
        <v>464</v>
      </c>
      <c r="AE5" s="7" t="s">
        <v>465</v>
      </c>
      <c r="AF5" s="7" t="s">
        <v>466</v>
      </c>
      <c r="AG5" s="7" t="s">
        <v>467</v>
      </c>
      <c r="AH5" s="7" t="s">
        <v>468</v>
      </c>
      <c r="AI5" s="7" t="s">
        <v>469</v>
      </c>
      <c r="AJ5" s="7" t="s">
        <v>470</v>
      </c>
      <c r="AK5" s="7" t="s">
        <v>471</v>
      </c>
      <c r="AL5" s="7" t="s">
        <v>472</v>
      </c>
    </row>
    <row r="6" spans="1:40" x14ac:dyDescent="0.2">
      <c r="A6" t="s">
        <v>246</v>
      </c>
      <c r="B6" s="8" t="s">
        <v>245</v>
      </c>
      <c r="C6" s="18">
        <v>74030.2</v>
      </c>
      <c r="D6" s="18">
        <v>9719.17</v>
      </c>
      <c r="E6" s="18">
        <v>35146.86</v>
      </c>
      <c r="F6" s="18">
        <v>6437.11</v>
      </c>
      <c r="G6" s="18">
        <v>37499.26</v>
      </c>
      <c r="H6" s="18">
        <v>56365.62</v>
      </c>
      <c r="I6" s="18">
        <v>67248.179999999993</v>
      </c>
      <c r="J6" s="18">
        <v>32764.69</v>
      </c>
      <c r="K6" s="18">
        <v>27483.3</v>
      </c>
      <c r="L6" s="18">
        <v>1259.49</v>
      </c>
      <c r="M6" s="18">
        <v>76433.56</v>
      </c>
      <c r="N6" s="18">
        <v>26707.73</v>
      </c>
      <c r="O6" s="18">
        <v>33096.39</v>
      </c>
      <c r="P6" s="18">
        <v>9211.56</v>
      </c>
      <c r="Q6" s="18">
        <v>77887.13</v>
      </c>
      <c r="R6" s="18">
        <v>29734.46</v>
      </c>
      <c r="S6" s="18">
        <v>84666.48</v>
      </c>
      <c r="T6" s="18">
        <v>68978.320000000007</v>
      </c>
      <c r="U6" s="18">
        <v>64342.25</v>
      </c>
      <c r="V6" s="18">
        <v>66788.52</v>
      </c>
      <c r="W6" s="18">
        <v>20736.939999999999</v>
      </c>
      <c r="X6" s="18">
        <v>39371.230000000003</v>
      </c>
      <c r="Y6" s="18">
        <v>77560.070000000007</v>
      </c>
      <c r="Z6" s="18">
        <v>13063.71</v>
      </c>
      <c r="AA6" s="18">
        <v>64999.65</v>
      </c>
      <c r="AB6" s="18">
        <v>12353.95</v>
      </c>
      <c r="AC6" s="18">
        <v>76887.23</v>
      </c>
      <c r="AD6" s="18">
        <v>52317.51</v>
      </c>
      <c r="AE6" s="18">
        <v>98771.85</v>
      </c>
      <c r="AF6" s="18">
        <v>103272.57</v>
      </c>
      <c r="AG6" s="18">
        <v>72940.53</v>
      </c>
      <c r="AH6" s="18">
        <v>44195.62</v>
      </c>
      <c r="AI6" s="18">
        <v>44101.440000000002</v>
      </c>
      <c r="AJ6" s="18">
        <f t="shared" ref="AJ6:AJ21" si="0">SUM(C6:N6)</f>
        <v>451095.17</v>
      </c>
      <c r="AK6" s="18">
        <f t="shared" ref="AK6:AK21" si="1">SUM(O6:Z6)</f>
        <v>585437.06000000006</v>
      </c>
      <c r="AL6" s="18">
        <f t="shared" ref="AL6:AL21" si="2">SUM(AA6:AI6)</f>
        <v>569840.35000000009</v>
      </c>
    </row>
    <row r="7" spans="1:40" x14ac:dyDescent="0.2">
      <c r="A7" t="s">
        <v>236</v>
      </c>
      <c r="B7" s="8" t="s">
        <v>235</v>
      </c>
      <c r="C7" s="18">
        <v>7892.86</v>
      </c>
      <c r="D7" s="18">
        <v>7892.86</v>
      </c>
      <c r="E7" s="18">
        <v>7892.86</v>
      </c>
      <c r="F7" s="18">
        <v>7892.86</v>
      </c>
      <c r="G7" s="18">
        <v>7892.86</v>
      </c>
      <c r="H7" s="18">
        <v>8601.19</v>
      </c>
      <c r="I7" s="18">
        <v>8601.19</v>
      </c>
      <c r="J7" s="18">
        <v>8601.19</v>
      </c>
      <c r="K7" s="18">
        <v>8601.19</v>
      </c>
      <c r="L7" s="18">
        <v>8601.19</v>
      </c>
      <c r="M7" s="18">
        <v>8601.19</v>
      </c>
      <c r="N7" s="18">
        <v>8601.19</v>
      </c>
      <c r="O7" s="18">
        <v>8601.19</v>
      </c>
      <c r="P7" s="18">
        <v>8601.19</v>
      </c>
      <c r="Q7" s="18">
        <v>8601.19</v>
      </c>
      <c r="R7" s="18">
        <v>9172.6200000000008</v>
      </c>
      <c r="S7" s="18">
        <v>9172.6200000000008</v>
      </c>
      <c r="T7" s="18">
        <v>9172.6200000000008</v>
      </c>
      <c r="U7" s="18">
        <v>9172.6200000000008</v>
      </c>
      <c r="V7" s="18">
        <v>9172.6200000000008</v>
      </c>
      <c r="W7" s="18">
        <v>9172.6200000000008</v>
      </c>
      <c r="X7" s="18">
        <v>10172.620000000001</v>
      </c>
      <c r="Y7" s="18">
        <v>10172.620000000001</v>
      </c>
      <c r="Z7" s="18">
        <v>10172.620000000001</v>
      </c>
      <c r="AA7" s="18">
        <v>10172.620000000001</v>
      </c>
      <c r="AB7" s="18">
        <v>10172.620000000001</v>
      </c>
      <c r="AC7" s="18">
        <v>8172.53</v>
      </c>
      <c r="AD7" s="18">
        <v>7505.95</v>
      </c>
      <c r="AE7" s="18">
        <v>7739.28</v>
      </c>
      <c r="AF7" s="18">
        <v>7739.28</v>
      </c>
      <c r="AG7" s="18">
        <v>6227.39</v>
      </c>
      <c r="AH7" s="18">
        <v>6013.09</v>
      </c>
      <c r="AI7" s="18">
        <v>6013.09</v>
      </c>
      <c r="AJ7" s="18">
        <f t="shared" si="0"/>
        <v>99672.63</v>
      </c>
      <c r="AK7" s="18">
        <f t="shared" si="1"/>
        <v>111357.15</v>
      </c>
      <c r="AL7" s="18">
        <f t="shared" si="2"/>
        <v>69755.849999999991</v>
      </c>
    </row>
    <row r="8" spans="1:40" x14ac:dyDescent="0.2">
      <c r="A8" t="s">
        <v>306</v>
      </c>
      <c r="B8" s="8" t="s">
        <v>305</v>
      </c>
      <c r="C8" s="18">
        <v>-61399.78</v>
      </c>
      <c r="D8" s="18">
        <v>17057.8</v>
      </c>
      <c r="E8" s="18">
        <v>-5225.53</v>
      </c>
      <c r="F8" s="18">
        <v>-13741.89</v>
      </c>
      <c r="G8" s="18">
        <v>18750.98</v>
      </c>
      <c r="H8" s="18">
        <v>-7441.67</v>
      </c>
      <c r="I8" s="18">
        <v>-7002.27</v>
      </c>
      <c r="J8" s="18">
        <v>-10538.46</v>
      </c>
      <c r="K8" s="18">
        <v>8279.9</v>
      </c>
      <c r="L8" s="18">
        <v>-8544.9699999999993</v>
      </c>
      <c r="M8" s="18">
        <v>-55704.160000000003</v>
      </c>
      <c r="N8" s="18">
        <v>49746.09</v>
      </c>
      <c r="O8" s="18">
        <v>-14483.55</v>
      </c>
      <c r="P8" s="18">
        <v>13664.96</v>
      </c>
      <c r="Q8" s="18">
        <v>-45317.14</v>
      </c>
      <c r="R8" s="18">
        <v>72156.23</v>
      </c>
      <c r="S8" s="18">
        <v>-53743.09</v>
      </c>
      <c r="T8" s="18">
        <v>20181.04</v>
      </c>
      <c r="U8" s="18">
        <v>15808.95</v>
      </c>
      <c r="V8" s="18">
        <v>-30965.81</v>
      </c>
      <c r="W8" s="18">
        <v>-9807.8799999999992</v>
      </c>
      <c r="X8" s="18">
        <v>6705.98</v>
      </c>
      <c r="Y8" s="18">
        <v>40734.69</v>
      </c>
      <c r="Z8" s="18">
        <v>-12784.25</v>
      </c>
      <c r="AA8" s="18">
        <v>-35600.21</v>
      </c>
      <c r="AB8" s="18">
        <v>10260.69</v>
      </c>
      <c r="AC8" s="18">
        <v>6436.04</v>
      </c>
      <c r="AD8" s="18">
        <v>41547.300000000003</v>
      </c>
      <c r="AE8" s="18">
        <v>-12156.48</v>
      </c>
      <c r="AF8" s="18">
        <v>-2065.09</v>
      </c>
      <c r="AG8" s="18">
        <v>1992.25</v>
      </c>
      <c r="AH8" s="18">
        <v>-35866.949999999997</v>
      </c>
      <c r="AI8" s="18">
        <v>35262.78</v>
      </c>
      <c r="AJ8" s="18">
        <f t="shared" si="0"/>
        <v>-75763.960000000006</v>
      </c>
      <c r="AK8" s="18">
        <f t="shared" si="1"/>
        <v>2150.1300000000083</v>
      </c>
      <c r="AL8" s="18">
        <f t="shared" si="2"/>
        <v>9810.330000000009</v>
      </c>
    </row>
    <row r="9" spans="1:40" x14ac:dyDescent="0.2">
      <c r="A9" t="s">
        <v>308</v>
      </c>
      <c r="B9" s="8" t="s">
        <v>307</v>
      </c>
      <c r="C9" s="18">
        <v>76916.84</v>
      </c>
      <c r="D9" s="18">
        <v>-19663.509999999998</v>
      </c>
      <c r="E9" s="18">
        <v>8649.51</v>
      </c>
      <c r="F9" s="18">
        <v>-22466.01</v>
      </c>
      <c r="G9" s="18">
        <v>22300.21</v>
      </c>
      <c r="H9" s="18">
        <v>50416.57</v>
      </c>
      <c r="I9" s="18">
        <v>48173.51</v>
      </c>
      <c r="J9" s="18">
        <v>-62948.27</v>
      </c>
      <c r="K9" s="18">
        <v>66829.649999999994</v>
      </c>
      <c r="L9" s="18">
        <v>-30109.27</v>
      </c>
      <c r="M9" s="18">
        <v>82318.41</v>
      </c>
      <c r="N9" s="18">
        <v>-26601.14</v>
      </c>
      <c r="O9" s="18">
        <v>43819.49</v>
      </c>
      <c r="P9" s="18">
        <v>-16495.77</v>
      </c>
      <c r="Q9" s="18">
        <v>-67772.7</v>
      </c>
      <c r="R9" s="18">
        <v>-16324.77</v>
      </c>
      <c r="S9" s="18">
        <v>59662.98</v>
      </c>
      <c r="T9" s="18">
        <v>38602.300000000003</v>
      </c>
      <c r="U9" s="18">
        <v>2449.8000000000002</v>
      </c>
      <c r="V9" s="18">
        <v>-8219.11</v>
      </c>
      <c r="W9" s="18">
        <v>-21403.27</v>
      </c>
      <c r="X9" s="18">
        <v>58121.98</v>
      </c>
      <c r="Y9" s="18">
        <v>40041.33</v>
      </c>
      <c r="Z9" s="18">
        <v>-130813.88</v>
      </c>
      <c r="AA9" s="18">
        <v>128022.58</v>
      </c>
      <c r="AB9" s="18">
        <v>-55150.559999999998</v>
      </c>
      <c r="AC9" s="18">
        <v>-63433.04</v>
      </c>
      <c r="AD9" s="18">
        <v>-5274.4</v>
      </c>
      <c r="AE9" s="18">
        <v>28991.67</v>
      </c>
      <c r="AF9" s="18">
        <v>31766.17</v>
      </c>
      <c r="AG9" s="18">
        <v>55164.04</v>
      </c>
      <c r="AH9" s="18">
        <v>-88318.83</v>
      </c>
      <c r="AI9" s="18">
        <v>68031.72</v>
      </c>
      <c r="AJ9" s="18">
        <f t="shared" si="0"/>
        <v>193816.50000000006</v>
      </c>
      <c r="AK9" s="18">
        <f t="shared" si="1"/>
        <v>-18331.619999999995</v>
      </c>
      <c r="AL9" s="18">
        <f t="shared" si="2"/>
        <v>99799.349999999991</v>
      </c>
    </row>
    <row r="10" spans="1:40" x14ac:dyDescent="0.2">
      <c r="A10" t="s">
        <v>503</v>
      </c>
      <c r="B10" s="8" t="s">
        <v>309</v>
      </c>
      <c r="C10" s="18">
        <v>57497.64</v>
      </c>
      <c r="D10" s="18">
        <v>-69245.279999999999</v>
      </c>
      <c r="E10" s="18">
        <v>-46110.38</v>
      </c>
      <c r="F10" s="18">
        <v>22308.7</v>
      </c>
      <c r="G10" s="18">
        <v>19350.28</v>
      </c>
      <c r="H10" s="18">
        <v>-44973.919999999998</v>
      </c>
      <c r="I10" s="18">
        <v>37072.19</v>
      </c>
      <c r="J10" s="18">
        <v>65685.820000000007</v>
      </c>
      <c r="K10" s="18">
        <v>-81918.67</v>
      </c>
      <c r="L10" s="18">
        <v>35112.97</v>
      </c>
      <c r="M10" s="18">
        <v>-1991.51</v>
      </c>
      <c r="N10" s="18">
        <v>63470.77</v>
      </c>
      <c r="O10" s="18">
        <v>-22789</v>
      </c>
      <c r="P10" s="18">
        <v>-7078.37</v>
      </c>
      <c r="Q10" s="18">
        <v>121084.51</v>
      </c>
      <c r="R10" s="18">
        <v>-89877.35</v>
      </c>
      <c r="S10" s="18">
        <v>6009.7</v>
      </c>
      <c r="T10" s="18">
        <v>-42049.48</v>
      </c>
      <c r="U10" s="18">
        <v>1008.72</v>
      </c>
      <c r="V10" s="18">
        <v>11282.88</v>
      </c>
      <c r="W10" s="18">
        <v>22847.14</v>
      </c>
      <c r="X10" s="18">
        <v>-66874.58</v>
      </c>
      <c r="Y10" s="18">
        <v>79631.25</v>
      </c>
      <c r="Z10" s="18">
        <v>95397.68</v>
      </c>
      <c r="AA10" s="18">
        <v>-117102.61</v>
      </c>
      <c r="AB10" s="18">
        <v>59777.81</v>
      </c>
      <c r="AC10" s="18">
        <v>52037.14</v>
      </c>
      <c r="AD10" s="18">
        <v>-50985.8</v>
      </c>
      <c r="AE10" s="18">
        <v>-29069.97</v>
      </c>
      <c r="AF10" s="18">
        <v>30496.21</v>
      </c>
      <c r="AG10" s="18">
        <v>-86643.07</v>
      </c>
      <c r="AH10" s="18">
        <v>105924.98</v>
      </c>
      <c r="AI10" s="18">
        <v>-115920.16</v>
      </c>
      <c r="AJ10" s="18">
        <f t="shared" si="0"/>
        <v>56258.610000000015</v>
      </c>
      <c r="AK10" s="18">
        <f t="shared" si="1"/>
        <v>108593.09999999998</v>
      </c>
      <c r="AL10" s="18">
        <f t="shared" si="2"/>
        <v>-151485.47000000003</v>
      </c>
    </row>
    <row r="11" spans="1:40" x14ac:dyDescent="0.2">
      <c r="A11" t="s">
        <v>312</v>
      </c>
      <c r="B11" s="8" t="s">
        <v>311</v>
      </c>
      <c r="C11" s="18">
        <v>-49767.39</v>
      </c>
      <c r="D11" s="18">
        <v>-37274.949999999997</v>
      </c>
      <c r="E11" s="18">
        <v>-20487.009999999998</v>
      </c>
      <c r="F11" s="18">
        <v>55564.27</v>
      </c>
      <c r="G11" s="18">
        <v>-1291.1500000000001</v>
      </c>
      <c r="H11" s="18">
        <v>-35084.65</v>
      </c>
      <c r="I11" s="18">
        <v>-20552.37</v>
      </c>
      <c r="J11" s="18">
        <v>41295.19</v>
      </c>
      <c r="K11" s="18">
        <v>12298.8</v>
      </c>
      <c r="L11" s="18">
        <v>27376.79</v>
      </c>
      <c r="M11" s="18">
        <v>44449.81</v>
      </c>
      <c r="N11" s="18">
        <v>-65720.87</v>
      </c>
      <c r="O11" s="18">
        <v>69393.34</v>
      </c>
      <c r="P11" s="18">
        <v>-37276.449999999997</v>
      </c>
      <c r="Q11" s="18">
        <v>-16675.509999999998</v>
      </c>
      <c r="R11" s="18">
        <v>24434.42</v>
      </c>
      <c r="S11" s="18">
        <v>3224.62</v>
      </c>
      <c r="T11" s="18">
        <v>-68303.69</v>
      </c>
      <c r="U11" s="18">
        <v>-31097.77</v>
      </c>
      <c r="V11" s="18">
        <v>11922.62</v>
      </c>
      <c r="W11" s="18">
        <v>55072.35</v>
      </c>
      <c r="X11" s="18">
        <v>24371.69</v>
      </c>
      <c r="Y11" s="18">
        <v>59532.959999999999</v>
      </c>
      <c r="Z11" s="18">
        <v>-4364.59</v>
      </c>
      <c r="AA11" s="18">
        <v>46897.2</v>
      </c>
      <c r="AB11" s="18">
        <v>-35346.01</v>
      </c>
      <c r="AC11" s="18">
        <v>19355.86</v>
      </c>
      <c r="AD11" s="18">
        <v>-15783.3</v>
      </c>
      <c r="AE11" s="18">
        <v>-23195.74</v>
      </c>
      <c r="AF11" s="18">
        <v>-91827.29</v>
      </c>
      <c r="AG11" s="18">
        <v>-9450.9500000000007</v>
      </c>
      <c r="AH11" s="18">
        <v>-8031.24</v>
      </c>
      <c r="AI11" s="18">
        <v>6409.6</v>
      </c>
      <c r="AJ11" s="18">
        <f t="shared" si="0"/>
        <v>-49193.529999999992</v>
      </c>
      <c r="AK11" s="18">
        <f t="shared" si="1"/>
        <v>90233.99000000002</v>
      </c>
      <c r="AL11" s="18">
        <f t="shared" si="2"/>
        <v>-110971.87</v>
      </c>
    </row>
    <row r="12" spans="1:40" x14ac:dyDescent="0.2">
      <c r="A12" t="s">
        <v>314</v>
      </c>
      <c r="B12" s="8" t="s">
        <v>313</v>
      </c>
      <c r="C12" s="18">
        <v>-23491.74</v>
      </c>
      <c r="D12" s="18">
        <v>7725.1</v>
      </c>
      <c r="E12" s="18">
        <v>-18127.03</v>
      </c>
      <c r="F12" s="18">
        <v>-18204.73</v>
      </c>
      <c r="G12" s="18">
        <v>19157.439999999999</v>
      </c>
      <c r="H12" s="18">
        <v>22533.27</v>
      </c>
      <c r="I12" s="18">
        <v>1650.73</v>
      </c>
      <c r="J12" s="18">
        <v>17433.53</v>
      </c>
      <c r="K12" s="18">
        <v>18148.599999999999</v>
      </c>
      <c r="L12" s="18">
        <v>-19845.080000000002</v>
      </c>
      <c r="M12" s="18">
        <v>33290.879999999997</v>
      </c>
      <c r="N12" s="18">
        <v>12011.37</v>
      </c>
      <c r="O12" s="18">
        <v>-65824.72</v>
      </c>
      <c r="P12" s="18">
        <v>8290.4500000000007</v>
      </c>
      <c r="Q12" s="18">
        <v>-29106.639999999999</v>
      </c>
      <c r="R12" s="18">
        <v>-6136.94</v>
      </c>
      <c r="S12" s="18">
        <v>33619.56</v>
      </c>
      <c r="T12" s="18">
        <v>20134.71</v>
      </c>
      <c r="U12" s="18">
        <v>-9594.94</v>
      </c>
      <c r="V12" s="18">
        <v>23730.62</v>
      </c>
      <c r="W12" s="18">
        <v>16760.48</v>
      </c>
      <c r="X12" s="18">
        <v>3969.93</v>
      </c>
      <c r="Y12" s="18">
        <v>43797.9</v>
      </c>
      <c r="Z12" s="18">
        <v>9143.7900000000009</v>
      </c>
      <c r="AA12" s="18">
        <v>-59508.87</v>
      </c>
      <c r="AB12" s="18">
        <v>2027.34</v>
      </c>
      <c r="AC12" s="18">
        <v>-63622.83</v>
      </c>
      <c r="AD12" s="18">
        <v>-15316.52</v>
      </c>
      <c r="AE12" s="18">
        <v>35880.49</v>
      </c>
      <c r="AF12" s="18">
        <v>34178.769999999997</v>
      </c>
      <c r="AG12" s="18">
        <v>-6003.28</v>
      </c>
      <c r="AH12" s="18">
        <v>26197.599999999999</v>
      </c>
      <c r="AI12" s="18">
        <v>32946.85</v>
      </c>
      <c r="AJ12" s="18">
        <f t="shared" si="0"/>
        <v>52282.340000000004</v>
      </c>
      <c r="AK12" s="18">
        <f t="shared" si="1"/>
        <v>48784.19999999999</v>
      </c>
      <c r="AL12" s="18">
        <f t="shared" si="2"/>
        <v>-13220.450000000026</v>
      </c>
    </row>
    <row r="13" spans="1:40" x14ac:dyDescent="0.2">
      <c r="A13" s="16" t="s">
        <v>316</v>
      </c>
      <c r="B13" s="16" t="s">
        <v>315</v>
      </c>
      <c r="C13" s="17">
        <f t="shared" ref="C13:AI13" si="3">C6+C7+C8+C9+C10+C11+C12</f>
        <v>81678.63</v>
      </c>
      <c r="D13" s="17">
        <f t="shared" si="3"/>
        <v>-83788.809999999983</v>
      </c>
      <c r="E13" s="17">
        <f t="shared" si="3"/>
        <v>-38260.719999999987</v>
      </c>
      <c r="F13" s="17">
        <f t="shared" si="3"/>
        <v>37790.31</v>
      </c>
      <c r="G13" s="17">
        <f t="shared" si="3"/>
        <v>123659.88</v>
      </c>
      <c r="H13" s="17">
        <f t="shared" si="3"/>
        <v>50416.41</v>
      </c>
      <c r="I13" s="17">
        <f t="shared" si="3"/>
        <v>135191.16</v>
      </c>
      <c r="J13" s="17">
        <f t="shared" si="3"/>
        <v>92293.69</v>
      </c>
      <c r="K13" s="17">
        <f t="shared" si="3"/>
        <v>59722.77</v>
      </c>
      <c r="L13" s="17">
        <f t="shared" si="3"/>
        <v>13851.120000000003</v>
      </c>
      <c r="M13" s="17">
        <f t="shared" si="3"/>
        <v>187398.18</v>
      </c>
      <c r="N13" s="17">
        <f t="shared" si="3"/>
        <v>68215.139999999985</v>
      </c>
      <c r="O13" s="17">
        <f t="shared" si="3"/>
        <v>51813.14</v>
      </c>
      <c r="P13" s="17">
        <f t="shared" si="3"/>
        <v>-21082.429999999997</v>
      </c>
      <c r="Q13" s="17">
        <f t="shared" si="3"/>
        <v>48700.840000000011</v>
      </c>
      <c r="R13" s="17">
        <f t="shared" si="3"/>
        <v>23158.669999999987</v>
      </c>
      <c r="S13" s="17">
        <f t="shared" si="3"/>
        <v>142612.87</v>
      </c>
      <c r="T13" s="17">
        <f t="shared" si="3"/>
        <v>46715.820000000014</v>
      </c>
      <c r="U13" s="17">
        <f t="shared" si="3"/>
        <v>52089.62999999999</v>
      </c>
      <c r="V13" s="17">
        <f t="shared" si="3"/>
        <v>83712.34</v>
      </c>
      <c r="W13" s="17">
        <f t="shared" si="3"/>
        <v>93378.37999999999</v>
      </c>
      <c r="X13" s="17">
        <f t="shared" si="3"/>
        <v>75838.849999999991</v>
      </c>
      <c r="Y13" s="17">
        <f t="shared" si="3"/>
        <v>351470.82000000007</v>
      </c>
      <c r="Z13" s="17">
        <f t="shared" si="3"/>
        <v>-20184.920000000009</v>
      </c>
      <c r="AA13" s="17">
        <f t="shared" si="3"/>
        <v>37880.360000000008</v>
      </c>
      <c r="AB13" s="17">
        <f t="shared" si="3"/>
        <v>4095.84</v>
      </c>
      <c r="AC13" s="17">
        <f t="shared" si="3"/>
        <v>35832.929999999993</v>
      </c>
      <c r="AD13" s="17">
        <f t="shared" si="3"/>
        <v>14010.740000000013</v>
      </c>
      <c r="AE13" s="17">
        <f t="shared" si="3"/>
        <v>106961.1</v>
      </c>
      <c r="AF13" s="17">
        <f t="shared" si="3"/>
        <v>113560.62</v>
      </c>
      <c r="AG13" s="17">
        <f t="shared" si="3"/>
        <v>34226.909999999989</v>
      </c>
      <c r="AH13" s="17">
        <f t="shared" si="3"/>
        <v>50114.270000000004</v>
      </c>
      <c r="AI13" s="17">
        <f t="shared" si="3"/>
        <v>76845.319999999992</v>
      </c>
      <c r="AJ13" s="17">
        <f t="shared" si="0"/>
        <v>728167.76000000013</v>
      </c>
      <c r="AK13" s="17">
        <f t="shared" si="1"/>
        <v>928224.01</v>
      </c>
      <c r="AL13" s="17">
        <f t="shared" si="2"/>
        <v>473528.09</v>
      </c>
    </row>
    <row r="14" spans="1:40" x14ac:dyDescent="0.2">
      <c r="A14" t="s">
        <v>318</v>
      </c>
      <c r="B14" s="8" t="s">
        <v>504</v>
      </c>
      <c r="C14" s="18">
        <v>0</v>
      </c>
      <c r="D14" s="18">
        <v>0</v>
      </c>
      <c r="E14" s="18">
        <v>0</v>
      </c>
      <c r="F14" s="18">
        <v>0</v>
      </c>
      <c r="G14" s="18">
        <v>-85000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-48000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-36000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-28000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f t="shared" si="0"/>
        <v>-85000</v>
      </c>
      <c r="AK14" s="18">
        <f t="shared" si="1"/>
        <v>-84000</v>
      </c>
      <c r="AL14" s="18">
        <f t="shared" si="2"/>
        <v>-28000</v>
      </c>
    </row>
    <row r="15" spans="1:40" x14ac:dyDescent="0.2">
      <c r="A15" s="16" t="s">
        <v>505</v>
      </c>
      <c r="B15" s="16" t="s">
        <v>317</v>
      </c>
      <c r="C15" s="17">
        <f t="shared" ref="C15:AI15" si="4">C14</f>
        <v>0</v>
      </c>
      <c r="D15" s="17">
        <f t="shared" si="4"/>
        <v>0</v>
      </c>
      <c r="E15" s="17">
        <f t="shared" si="4"/>
        <v>0</v>
      </c>
      <c r="F15" s="17">
        <f t="shared" si="4"/>
        <v>0</v>
      </c>
      <c r="G15" s="17">
        <f t="shared" si="4"/>
        <v>-85000</v>
      </c>
      <c r="H15" s="17">
        <f t="shared" si="4"/>
        <v>0</v>
      </c>
      <c r="I15" s="17">
        <f t="shared" si="4"/>
        <v>0</v>
      </c>
      <c r="J15" s="17">
        <f t="shared" si="4"/>
        <v>0</v>
      </c>
      <c r="K15" s="17">
        <f t="shared" si="4"/>
        <v>0</v>
      </c>
      <c r="L15" s="17">
        <f t="shared" si="4"/>
        <v>0</v>
      </c>
      <c r="M15" s="17">
        <f t="shared" si="4"/>
        <v>0</v>
      </c>
      <c r="N15" s="17">
        <f t="shared" si="4"/>
        <v>0</v>
      </c>
      <c r="O15" s="17">
        <f t="shared" si="4"/>
        <v>0</v>
      </c>
      <c r="P15" s="17">
        <f t="shared" si="4"/>
        <v>0</v>
      </c>
      <c r="Q15" s="17">
        <f t="shared" si="4"/>
        <v>-48000</v>
      </c>
      <c r="R15" s="17">
        <f t="shared" si="4"/>
        <v>0</v>
      </c>
      <c r="S15" s="17">
        <f t="shared" si="4"/>
        <v>0</v>
      </c>
      <c r="T15" s="17">
        <f t="shared" si="4"/>
        <v>0</v>
      </c>
      <c r="U15" s="17">
        <f t="shared" si="4"/>
        <v>0</v>
      </c>
      <c r="V15" s="17">
        <f t="shared" si="4"/>
        <v>0</v>
      </c>
      <c r="W15" s="17">
        <f t="shared" si="4"/>
        <v>-36000</v>
      </c>
      <c r="X15" s="17">
        <f t="shared" si="4"/>
        <v>0</v>
      </c>
      <c r="Y15" s="17">
        <f t="shared" si="4"/>
        <v>0</v>
      </c>
      <c r="Z15" s="17">
        <f t="shared" si="4"/>
        <v>0</v>
      </c>
      <c r="AA15" s="17">
        <f t="shared" si="4"/>
        <v>0</v>
      </c>
      <c r="AB15" s="17">
        <f t="shared" si="4"/>
        <v>0</v>
      </c>
      <c r="AC15" s="17">
        <f t="shared" si="4"/>
        <v>0</v>
      </c>
      <c r="AD15" s="17">
        <f t="shared" si="4"/>
        <v>-28000</v>
      </c>
      <c r="AE15" s="17">
        <f t="shared" si="4"/>
        <v>0</v>
      </c>
      <c r="AF15" s="17">
        <f t="shared" si="4"/>
        <v>0</v>
      </c>
      <c r="AG15" s="17">
        <f t="shared" si="4"/>
        <v>0</v>
      </c>
      <c r="AH15" s="17">
        <f t="shared" si="4"/>
        <v>0</v>
      </c>
      <c r="AI15" s="17">
        <f t="shared" si="4"/>
        <v>0</v>
      </c>
      <c r="AJ15" s="17">
        <f t="shared" si="0"/>
        <v>-85000</v>
      </c>
      <c r="AK15" s="17">
        <f t="shared" si="1"/>
        <v>-84000</v>
      </c>
      <c r="AL15" s="17">
        <f t="shared" si="2"/>
        <v>-28000</v>
      </c>
    </row>
    <row r="16" spans="1:40" x14ac:dyDescent="0.2">
      <c r="A16" t="s">
        <v>322</v>
      </c>
      <c r="B16" s="8" t="s">
        <v>321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f t="shared" si="0"/>
        <v>0</v>
      </c>
      <c r="AK16" s="18">
        <f t="shared" si="1"/>
        <v>0</v>
      </c>
      <c r="AL16" s="18">
        <f t="shared" si="2"/>
        <v>0</v>
      </c>
    </row>
    <row r="17" spans="1:38" x14ac:dyDescent="0.2">
      <c r="A17" t="s">
        <v>324</v>
      </c>
      <c r="B17" s="8" t="s">
        <v>323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f t="shared" si="0"/>
        <v>0</v>
      </c>
      <c r="AK17" s="18">
        <f t="shared" si="1"/>
        <v>0</v>
      </c>
      <c r="AL17" s="18">
        <f t="shared" si="2"/>
        <v>0</v>
      </c>
    </row>
    <row r="18" spans="1:38" x14ac:dyDescent="0.2">
      <c r="A18" t="s">
        <v>320</v>
      </c>
      <c r="B18" s="8" t="s">
        <v>319</v>
      </c>
      <c r="C18" s="18">
        <v>-10416.67</v>
      </c>
      <c r="D18" s="18">
        <v>-10416.67</v>
      </c>
      <c r="E18" s="18">
        <v>-10416.67</v>
      </c>
      <c r="F18" s="18">
        <v>-10416.67</v>
      </c>
      <c r="G18" s="18">
        <v>-10416.67</v>
      </c>
      <c r="H18" s="18">
        <v>-10416.67</v>
      </c>
      <c r="I18" s="18">
        <v>-10416.67</v>
      </c>
      <c r="J18" s="18">
        <v>-10416.67</v>
      </c>
      <c r="K18" s="18">
        <v>-10416.67</v>
      </c>
      <c r="L18" s="18">
        <v>-10416.67</v>
      </c>
      <c r="M18" s="18">
        <v>-10416.67</v>
      </c>
      <c r="N18" s="18">
        <v>-10416.67</v>
      </c>
      <c r="O18" s="18">
        <v>-10416.67</v>
      </c>
      <c r="P18" s="18">
        <v>-10416.67</v>
      </c>
      <c r="Q18" s="18">
        <v>-10416.67</v>
      </c>
      <c r="R18" s="18">
        <v>-10416.67</v>
      </c>
      <c r="S18" s="18">
        <v>-10416.67</v>
      </c>
      <c r="T18" s="18">
        <v>-10416.67</v>
      </c>
      <c r="U18" s="18">
        <v>-10416.67</v>
      </c>
      <c r="V18" s="18">
        <v>-10416.67</v>
      </c>
      <c r="W18" s="18">
        <v>-10416.67</v>
      </c>
      <c r="X18" s="18">
        <v>-10416.67</v>
      </c>
      <c r="Y18" s="18">
        <v>-10416.67</v>
      </c>
      <c r="Z18" s="18">
        <v>-10416.67</v>
      </c>
      <c r="AA18" s="18">
        <v>-10416.67</v>
      </c>
      <c r="AB18" s="18">
        <v>-10416.67</v>
      </c>
      <c r="AC18" s="18">
        <v>-10416.67</v>
      </c>
      <c r="AD18" s="18">
        <v>-10416.67</v>
      </c>
      <c r="AE18" s="18">
        <v>-10416.67</v>
      </c>
      <c r="AF18" s="18">
        <v>-10416.67</v>
      </c>
      <c r="AG18" s="18">
        <v>-10416.67</v>
      </c>
      <c r="AH18" s="18">
        <v>-10416.67</v>
      </c>
      <c r="AI18" s="18">
        <v>-10416.67</v>
      </c>
      <c r="AJ18" s="18">
        <f t="shared" si="0"/>
        <v>-125000.04</v>
      </c>
      <c r="AK18" s="18">
        <f t="shared" si="1"/>
        <v>-125000.04</v>
      </c>
      <c r="AL18" s="18">
        <f t="shared" si="2"/>
        <v>-93750.03</v>
      </c>
    </row>
    <row r="19" spans="1:38" x14ac:dyDescent="0.2">
      <c r="A19" t="s">
        <v>326</v>
      </c>
      <c r="B19" s="8" t="s">
        <v>325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-225000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-292000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f t="shared" si="0"/>
        <v>-225000</v>
      </c>
      <c r="AK19" s="18">
        <f t="shared" si="1"/>
        <v>-292000</v>
      </c>
      <c r="AL19" s="18">
        <f t="shared" si="2"/>
        <v>0</v>
      </c>
    </row>
    <row r="20" spans="1:38" x14ac:dyDescent="0.2">
      <c r="A20" s="16" t="s">
        <v>328</v>
      </c>
      <c r="B20" s="16" t="s">
        <v>327</v>
      </c>
      <c r="C20" s="17">
        <f t="shared" ref="C20:AI20" si="5">C16+C17+C18+C19</f>
        <v>-10416.67</v>
      </c>
      <c r="D20" s="17">
        <f t="shared" si="5"/>
        <v>-10416.67</v>
      </c>
      <c r="E20" s="17">
        <f t="shared" si="5"/>
        <v>-10416.67</v>
      </c>
      <c r="F20" s="17">
        <f t="shared" si="5"/>
        <v>-10416.67</v>
      </c>
      <c r="G20" s="17">
        <f t="shared" si="5"/>
        <v>-10416.67</v>
      </c>
      <c r="H20" s="17">
        <f t="shared" si="5"/>
        <v>-10416.67</v>
      </c>
      <c r="I20" s="17">
        <f t="shared" si="5"/>
        <v>-10416.67</v>
      </c>
      <c r="J20" s="17">
        <f t="shared" si="5"/>
        <v>-10416.67</v>
      </c>
      <c r="K20" s="17">
        <f t="shared" si="5"/>
        <v>-10416.67</v>
      </c>
      <c r="L20" s="17">
        <f t="shared" si="5"/>
        <v>-10416.67</v>
      </c>
      <c r="M20" s="17">
        <f t="shared" si="5"/>
        <v>-10416.67</v>
      </c>
      <c r="N20" s="17">
        <f t="shared" si="5"/>
        <v>-235416.67</v>
      </c>
      <c r="O20" s="17">
        <f t="shared" si="5"/>
        <v>-10416.67</v>
      </c>
      <c r="P20" s="17">
        <f t="shared" si="5"/>
        <v>-10416.67</v>
      </c>
      <c r="Q20" s="17">
        <f t="shared" si="5"/>
        <v>-10416.67</v>
      </c>
      <c r="R20" s="17">
        <f t="shared" si="5"/>
        <v>-10416.67</v>
      </c>
      <c r="S20" s="17">
        <f t="shared" si="5"/>
        <v>-10416.67</v>
      </c>
      <c r="T20" s="17">
        <f t="shared" si="5"/>
        <v>-10416.67</v>
      </c>
      <c r="U20" s="17">
        <f t="shared" si="5"/>
        <v>-10416.67</v>
      </c>
      <c r="V20" s="17">
        <f t="shared" si="5"/>
        <v>-10416.67</v>
      </c>
      <c r="W20" s="17">
        <f t="shared" si="5"/>
        <v>-10416.67</v>
      </c>
      <c r="X20" s="17">
        <f t="shared" si="5"/>
        <v>-10416.67</v>
      </c>
      <c r="Y20" s="17">
        <f t="shared" si="5"/>
        <v>-10416.67</v>
      </c>
      <c r="Z20" s="17">
        <f t="shared" si="5"/>
        <v>-302416.67</v>
      </c>
      <c r="AA20" s="17">
        <f t="shared" si="5"/>
        <v>-10416.67</v>
      </c>
      <c r="AB20" s="17">
        <f t="shared" si="5"/>
        <v>-10416.67</v>
      </c>
      <c r="AC20" s="17">
        <f t="shared" si="5"/>
        <v>-10416.67</v>
      </c>
      <c r="AD20" s="17">
        <f t="shared" si="5"/>
        <v>-10416.67</v>
      </c>
      <c r="AE20" s="17">
        <f t="shared" si="5"/>
        <v>-10416.67</v>
      </c>
      <c r="AF20" s="17">
        <f t="shared" si="5"/>
        <v>-10416.67</v>
      </c>
      <c r="AG20" s="17">
        <f t="shared" si="5"/>
        <v>-10416.67</v>
      </c>
      <c r="AH20" s="17">
        <f t="shared" si="5"/>
        <v>-10416.67</v>
      </c>
      <c r="AI20" s="17">
        <f t="shared" si="5"/>
        <v>-10416.67</v>
      </c>
      <c r="AJ20" s="17">
        <f t="shared" si="0"/>
        <v>-350000.04000000004</v>
      </c>
      <c r="AK20" s="17">
        <f t="shared" si="1"/>
        <v>-417000.04</v>
      </c>
      <c r="AL20" s="17">
        <f t="shared" si="2"/>
        <v>-93750.03</v>
      </c>
    </row>
    <row r="21" spans="1:38" x14ac:dyDescent="0.2">
      <c r="A21" s="16" t="s">
        <v>330</v>
      </c>
      <c r="B21" s="16" t="s">
        <v>329</v>
      </c>
      <c r="C21" s="17">
        <f t="shared" ref="C21:AI21" si="6">C13+C15+C20</f>
        <v>71261.960000000006</v>
      </c>
      <c r="D21" s="17">
        <f t="shared" si="6"/>
        <v>-94205.479999999981</v>
      </c>
      <c r="E21" s="17">
        <f t="shared" si="6"/>
        <v>-48677.389999999985</v>
      </c>
      <c r="F21" s="17">
        <f t="shared" si="6"/>
        <v>27373.64</v>
      </c>
      <c r="G21" s="17">
        <f t="shared" si="6"/>
        <v>28243.210000000006</v>
      </c>
      <c r="H21" s="17">
        <f t="shared" si="6"/>
        <v>39999.740000000005</v>
      </c>
      <c r="I21" s="17">
        <f t="shared" si="6"/>
        <v>124774.49</v>
      </c>
      <c r="J21" s="17">
        <f t="shared" si="6"/>
        <v>81877.02</v>
      </c>
      <c r="K21" s="17">
        <f t="shared" si="6"/>
        <v>49306.1</v>
      </c>
      <c r="L21" s="17">
        <f t="shared" si="6"/>
        <v>3434.4500000000025</v>
      </c>
      <c r="M21" s="17">
        <f t="shared" si="6"/>
        <v>176981.50999999998</v>
      </c>
      <c r="N21" s="17">
        <f t="shared" si="6"/>
        <v>-167201.53000000003</v>
      </c>
      <c r="O21" s="17">
        <f t="shared" si="6"/>
        <v>41396.47</v>
      </c>
      <c r="P21" s="17">
        <f t="shared" si="6"/>
        <v>-31499.1</v>
      </c>
      <c r="Q21" s="17">
        <f t="shared" si="6"/>
        <v>-9715.829999999989</v>
      </c>
      <c r="R21" s="17">
        <f t="shared" si="6"/>
        <v>12741.999999999987</v>
      </c>
      <c r="S21" s="17">
        <f t="shared" si="6"/>
        <v>132196.19999999998</v>
      </c>
      <c r="T21" s="17">
        <f t="shared" si="6"/>
        <v>36299.150000000016</v>
      </c>
      <c r="U21" s="17">
        <f t="shared" si="6"/>
        <v>41672.959999999992</v>
      </c>
      <c r="V21" s="17">
        <f t="shared" si="6"/>
        <v>73295.67</v>
      </c>
      <c r="W21" s="17">
        <f t="shared" si="6"/>
        <v>46961.709999999992</v>
      </c>
      <c r="X21" s="17">
        <f t="shared" si="6"/>
        <v>65422.179999999993</v>
      </c>
      <c r="Y21" s="17">
        <f t="shared" si="6"/>
        <v>341054.15000000008</v>
      </c>
      <c r="Z21" s="17">
        <f t="shared" si="6"/>
        <v>-322601.58999999997</v>
      </c>
      <c r="AA21" s="17">
        <f t="shared" si="6"/>
        <v>27463.69000000001</v>
      </c>
      <c r="AB21" s="17">
        <f t="shared" si="6"/>
        <v>-6320.83</v>
      </c>
      <c r="AC21" s="17">
        <f t="shared" si="6"/>
        <v>25416.259999999995</v>
      </c>
      <c r="AD21" s="17">
        <f t="shared" si="6"/>
        <v>-24405.929999999986</v>
      </c>
      <c r="AE21" s="17">
        <f t="shared" si="6"/>
        <v>96544.430000000008</v>
      </c>
      <c r="AF21" s="17">
        <f t="shared" si="6"/>
        <v>103143.95</v>
      </c>
      <c r="AG21" s="17">
        <f t="shared" si="6"/>
        <v>23810.239999999991</v>
      </c>
      <c r="AH21" s="17">
        <f t="shared" si="6"/>
        <v>39697.600000000006</v>
      </c>
      <c r="AI21" s="17">
        <f t="shared" si="6"/>
        <v>66428.649999999994</v>
      </c>
      <c r="AJ21" s="17">
        <f t="shared" si="0"/>
        <v>293167.71999999997</v>
      </c>
      <c r="AK21" s="17">
        <f t="shared" si="1"/>
        <v>427223.97000000009</v>
      </c>
      <c r="AL21" s="17">
        <f t="shared" si="2"/>
        <v>351778.06000000006</v>
      </c>
    </row>
    <row r="22" spans="1:38" x14ac:dyDescent="0.2">
      <c r="A22" t="s">
        <v>506</v>
      </c>
      <c r="B22" s="8" t="s">
        <v>507</v>
      </c>
      <c r="C22" s="18">
        <v>650000</v>
      </c>
      <c r="D22" s="18">
        <f t="shared" ref="D22:AI22" si="7">C23</f>
        <v>721261.96</v>
      </c>
      <c r="E22" s="18">
        <f t="shared" si="7"/>
        <v>627056.48</v>
      </c>
      <c r="F22" s="18">
        <f t="shared" si="7"/>
        <v>578379.09</v>
      </c>
      <c r="G22" s="18">
        <f t="shared" si="7"/>
        <v>605752.73</v>
      </c>
      <c r="H22" s="18">
        <f t="shared" si="7"/>
        <v>633995.93999999994</v>
      </c>
      <c r="I22" s="18">
        <f t="shared" si="7"/>
        <v>673995.67999999993</v>
      </c>
      <c r="J22" s="18">
        <f t="shared" si="7"/>
        <v>798770.16999999993</v>
      </c>
      <c r="K22" s="18">
        <f t="shared" si="7"/>
        <v>880647.19</v>
      </c>
      <c r="L22" s="18">
        <f t="shared" si="7"/>
        <v>929953.28999999992</v>
      </c>
      <c r="M22" s="18">
        <f t="shared" si="7"/>
        <v>933387.73999999987</v>
      </c>
      <c r="N22" s="18">
        <f t="shared" si="7"/>
        <v>1110369.2499999998</v>
      </c>
      <c r="O22" s="18">
        <f t="shared" si="7"/>
        <v>943167.71999999974</v>
      </c>
      <c r="P22" s="18">
        <f t="shared" si="7"/>
        <v>984564.18999999971</v>
      </c>
      <c r="Q22" s="18">
        <f t="shared" si="7"/>
        <v>953065.08999999973</v>
      </c>
      <c r="R22" s="18">
        <f t="shared" si="7"/>
        <v>943349.25999999978</v>
      </c>
      <c r="S22" s="18">
        <f t="shared" si="7"/>
        <v>956091.25999999978</v>
      </c>
      <c r="T22" s="18">
        <f t="shared" si="7"/>
        <v>1088287.4599999997</v>
      </c>
      <c r="U22" s="18">
        <f t="shared" si="7"/>
        <v>1124586.6099999996</v>
      </c>
      <c r="V22" s="18">
        <f t="shared" si="7"/>
        <v>1166259.5699999996</v>
      </c>
      <c r="W22" s="18">
        <f t="shared" si="7"/>
        <v>1239555.2399999995</v>
      </c>
      <c r="X22" s="18">
        <f t="shared" si="7"/>
        <v>1286516.9499999995</v>
      </c>
      <c r="Y22" s="18">
        <f t="shared" si="7"/>
        <v>1351939.1299999994</v>
      </c>
      <c r="Z22" s="18">
        <f t="shared" si="7"/>
        <v>1692993.2799999996</v>
      </c>
      <c r="AA22" s="18">
        <f t="shared" si="7"/>
        <v>1370391.6899999995</v>
      </c>
      <c r="AB22" s="18">
        <f t="shared" si="7"/>
        <v>1397855.3799999994</v>
      </c>
      <c r="AC22" s="18">
        <f t="shared" si="7"/>
        <v>1391534.5499999993</v>
      </c>
      <c r="AD22" s="18">
        <f t="shared" si="7"/>
        <v>1416950.8099999994</v>
      </c>
      <c r="AE22" s="18">
        <f t="shared" si="7"/>
        <v>1392544.8799999994</v>
      </c>
      <c r="AF22" s="18">
        <f t="shared" si="7"/>
        <v>1489089.3099999994</v>
      </c>
      <c r="AG22" s="18">
        <f t="shared" si="7"/>
        <v>1592233.2599999993</v>
      </c>
      <c r="AH22" s="18">
        <f t="shared" si="7"/>
        <v>1616043.4999999993</v>
      </c>
      <c r="AI22" s="18">
        <f t="shared" si="7"/>
        <v>1655741.0999999994</v>
      </c>
      <c r="AJ22" s="18">
        <f>C22</f>
        <v>650000</v>
      </c>
      <c r="AK22" s="18">
        <f>O22</f>
        <v>943167.71999999974</v>
      </c>
      <c r="AL22" s="18">
        <f>AA22</f>
        <v>1370391.6899999995</v>
      </c>
    </row>
    <row r="23" spans="1:38" x14ac:dyDescent="0.2">
      <c r="A23" s="16" t="s">
        <v>508</v>
      </c>
      <c r="B23" s="16" t="s">
        <v>509</v>
      </c>
      <c r="C23" s="17">
        <f t="shared" ref="C23:AI23" si="8">C22+C21</f>
        <v>721261.96</v>
      </c>
      <c r="D23" s="17">
        <f t="shared" si="8"/>
        <v>627056.48</v>
      </c>
      <c r="E23" s="17">
        <f t="shared" si="8"/>
        <v>578379.09</v>
      </c>
      <c r="F23" s="17">
        <f t="shared" si="8"/>
        <v>605752.73</v>
      </c>
      <c r="G23" s="17">
        <f t="shared" si="8"/>
        <v>633995.93999999994</v>
      </c>
      <c r="H23" s="17">
        <f t="shared" si="8"/>
        <v>673995.67999999993</v>
      </c>
      <c r="I23" s="17">
        <f t="shared" si="8"/>
        <v>798770.16999999993</v>
      </c>
      <c r="J23" s="17">
        <f t="shared" si="8"/>
        <v>880647.19</v>
      </c>
      <c r="K23" s="17">
        <f t="shared" si="8"/>
        <v>929953.28999999992</v>
      </c>
      <c r="L23" s="17">
        <f t="shared" si="8"/>
        <v>933387.73999999987</v>
      </c>
      <c r="M23" s="17">
        <f t="shared" si="8"/>
        <v>1110369.2499999998</v>
      </c>
      <c r="N23" s="17">
        <f t="shared" si="8"/>
        <v>943167.71999999974</v>
      </c>
      <c r="O23" s="17">
        <f t="shared" si="8"/>
        <v>984564.18999999971</v>
      </c>
      <c r="P23" s="17">
        <f t="shared" si="8"/>
        <v>953065.08999999973</v>
      </c>
      <c r="Q23" s="17">
        <f t="shared" si="8"/>
        <v>943349.25999999978</v>
      </c>
      <c r="R23" s="17">
        <f t="shared" si="8"/>
        <v>956091.25999999978</v>
      </c>
      <c r="S23" s="17">
        <f t="shared" si="8"/>
        <v>1088287.4599999997</v>
      </c>
      <c r="T23" s="17">
        <f t="shared" si="8"/>
        <v>1124586.6099999996</v>
      </c>
      <c r="U23" s="17">
        <f t="shared" si="8"/>
        <v>1166259.5699999996</v>
      </c>
      <c r="V23" s="17">
        <f t="shared" si="8"/>
        <v>1239555.2399999995</v>
      </c>
      <c r="W23" s="17">
        <f t="shared" si="8"/>
        <v>1286516.9499999995</v>
      </c>
      <c r="X23" s="17">
        <f t="shared" si="8"/>
        <v>1351939.1299999994</v>
      </c>
      <c r="Y23" s="17">
        <f t="shared" si="8"/>
        <v>1692993.2799999996</v>
      </c>
      <c r="Z23" s="17">
        <f t="shared" si="8"/>
        <v>1370391.6899999995</v>
      </c>
      <c r="AA23" s="17">
        <f t="shared" si="8"/>
        <v>1397855.3799999994</v>
      </c>
      <c r="AB23" s="17">
        <f t="shared" si="8"/>
        <v>1391534.5499999993</v>
      </c>
      <c r="AC23" s="17">
        <f t="shared" si="8"/>
        <v>1416950.8099999994</v>
      </c>
      <c r="AD23" s="17">
        <f t="shared" si="8"/>
        <v>1392544.8799999994</v>
      </c>
      <c r="AE23" s="17">
        <f t="shared" si="8"/>
        <v>1489089.3099999994</v>
      </c>
      <c r="AF23" s="17">
        <f t="shared" si="8"/>
        <v>1592233.2599999993</v>
      </c>
      <c r="AG23" s="17">
        <f t="shared" si="8"/>
        <v>1616043.4999999993</v>
      </c>
      <c r="AH23" s="17">
        <f t="shared" si="8"/>
        <v>1655741.0999999994</v>
      </c>
      <c r="AI23" s="17">
        <f t="shared" si="8"/>
        <v>1722169.7499999993</v>
      </c>
      <c r="AJ23" s="17">
        <f>N23</f>
        <v>943167.71999999974</v>
      </c>
      <c r="AK23" s="17">
        <f>Z23</f>
        <v>1370391.6899999995</v>
      </c>
      <c r="AL23" s="17">
        <f>AI23</f>
        <v>1722169.7499999993</v>
      </c>
    </row>
    <row r="24" spans="1:38" x14ac:dyDescent="0.2">
      <c r="A24" t="s">
        <v>510</v>
      </c>
      <c r="B24" s="8" t="s">
        <v>511</v>
      </c>
      <c r="C24" s="18">
        <f>Hist_BS!C6</f>
        <v>721261.96</v>
      </c>
      <c r="D24" s="18">
        <f>Hist_BS!D6</f>
        <v>627056.48</v>
      </c>
      <c r="E24" s="18">
        <f>Hist_BS!E6</f>
        <v>578379.09</v>
      </c>
      <c r="F24" s="18">
        <f>Hist_BS!F6</f>
        <v>605752.73</v>
      </c>
      <c r="G24" s="18">
        <f>Hist_BS!G6</f>
        <v>633995.93999999994</v>
      </c>
      <c r="H24" s="18">
        <f>Hist_BS!H6</f>
        <v>673995.68</v>
      </c>
      <c r="I24" s="18">
        <f>Hist_BS!I6</f>
        <v>798770.17</v>
      </c>
      <c r="J24" s="18">
        <f>Hist_BS!J6</f>
        <v>880647.19</v>
      </c>
      <c r="K24" s="18">
        <f>Hist_BS!K6</f>
        <v>929953.29</v>
      </c>
      <c r="L24" s="18">
        <f>Hist_BS!L6</f>
        <v>933387.74</v>
      </c>
      <c r="M24" s="18">
        <f>Hist_BS!M6</f>
        <v>1110369.25</v>
      </c>
      <c r="N24" s="18">
        <f>Hist_BS!N6</f>
        <v>943167.72</v>
      </c>
      <c r="O24" s="18">
        <f>Hist_BS!O6</f>
        <v>984564.19</v>
      </c>
      <c r="P24" s="18">
        <f>Hist_BS!P6</f>
        <v>953065.09</v>
      </c>
      <c r="Q24" s="18">
        <f>Hist_BS!Q6</f>
        <v>943349.26</v>
      </c>
      <c r="R24" s="18">
        <f>Hist_BS!R6</f>
        <v>956091.26</v>
      </c>
      <c r="S24" s="18">
        <f>Hist_BS!S6</f>
        <v>1088287.46</v>
      </c>
      <c r="T24" s="18">
        <f>Hist_BS!T6</f>
        <v>1124586.6100000001</v>
      </c>
      <c r="U24" s="18">
        <f>Hist_BS!U6</f>
        <v>1166259.57</v>
      </c>
      <c r="V24" s="18">
        <f>Hist_BS!V6</f>
        <v>1239555.24</v>
      </c>
      <c r="W24" s="18">
        <f>Hist_BS!W6</f>
        <v>1286516.95</v>
      </c>
      <c r="X24" s="18">
        <f>Hist_BS!X6</f>
        <v>1351939.13</v>
      </c>
      <c r="Y24" s="18">
        <f>Hist_BS!Y6</f>
        <v>1692993.28</v>
      </c>
      <c r="Z24" s="18">
        <f>Hist_BS!Z6</f>
        <v>1370391.69</v>
      </c>
      <c r="AA24" s="18">
        <f>Hist_BS!AA6</f>
        <v>1397855.38</v>
      </c>
      <c r="AB24" s="18">
        <f>Hist_BS!AB6</f>
        <v>1391534.55</v>
      </c>
      <c r="AC24" s="18">
        <f>Hist_BS!AC6</f>
        <v>1416950.81</v>
      </c>
      <c r="AD24" s="18">
        <f>Hist_BS!AD6</f>
        <v>1392544.88</v>
      </c>
      <c r="AE24" s="18">
        <f>Hist_BS!AE6</f>
        <v>1489089.31</v>
      </c>
      <c r="AF24" s="18">
        <f>Hist_BS!AF6</f>
        <v>1592233.26</v>
      </c>
      <c r="AG24" s="18">
        <f>Hist_BS!AG6</f>
        <v>1616043.5</v>
      </c>
      <c r="AH24" s="18">
        <f>Hist_BS!AH6</f>
        <v>1655741.1</v>
      </c>
      <c r="AI24" s="18">
        <f>Hist_BS!AI6</f>
        <v>1722169.75</v>
      </c>
      <c r="AJ24" s="18">
        <f>N24</f>
        <v>943167.72</v>
      </c>
      <c r="AK24" s="18">
        <f>Z24</f>
        <v>1370391.69</v>
      </c>
      <c r="AL24" s="18">
        <f>AI24</f>
        <v>1722169.75</v>
      </c>
    </row>
    <row r="25" spans="1:38" x14ac:dyDescent="0.2">
      <c r="A25" s="16" t="s">
        <v>512</v>
      </c>
      <c r="B25" s="16" t="s">
        <v>501</v>
      </c>
      <c r="C25" s="17">
        <f t="shared" ref="C25:AI25" si="9">ROUND(C23-C24,2)</f>
        <v>0</v>
      </c>
      <c r="D25" s="17">
        <f t="shared" si="9"/>
        <v>0</v>
      </c>
      <c r="E25" s="17">
        <f t="shared" si="9"/>
        <v>0</v>
      </c>
      <c r="F25" s="17">
        <f t="shared" si="9"/>
        <v>0</v>
      </c>
      <c r="G25" s="17">
        <f t="shared" si="9"/>
        <v>0</v>
      </c>
      <c r="H25" s="17">
        <f t="shared" si="9"/>
        <v>0</v>
      </c>
      <c r="I25" s="17">
        <f t="shared" si="9"/>
        <v>0</v>
      </c>
      <c r="J25" s="17">
        <f t="shared" si="9"/>
        <v>0</v>
      </c>
      <c r="K25" s="17">
        <f t="shared" si="9"/>
        <v>0</v>
      </c>
      <c r="L25" s="17">
        <f t="shared" si="9"/>
        <v>0</v>
      </c>
      <c r="M25" s="17">
        <f t="shared" si="9"/>
        <v>0</v>
      </c>
      <c r="N25" s="17">
        <f t="shared" si="9"/>
        <v>0</v>
      </c>
      <c r="O25" s="17">
        <f t="shared" si="9"/>
        <v>0</v>
      </c>
      <c r="P25" s="17">
        <f t="shared" si="9"/>
        <v>0</v>
      </c>
      <c r="Q25" s="17">
        <f t="shared" si="9"/>
        <v>0</v>
      </c>
      <c r="R25" s="17">
        <f t="shared" si="9"/>
        <v>0</v>
      </c>
      <c r="S25" s="17">
        <f t="shared" si="9"/>
        <v>0</v>
      </c>
      <c r="T25" s="17">
        <f t="shared" si="9"/>
        <v>0</v>
      </c>
      <c r="U25" s="17">
        <f t="shared" si="9"/>
        <v>0</v>
      </c>
      <c r="V25" s="17">
        <f t="shared" si="9"/>
        <v>0</v>
      </c>
      <c r="W25" s="17">
        <f t="shared" si="9"/>
        <v>0</v>
      </c>
      <c r="X25" s="17">
        <f t="shared" si="9"/>
        <v>0</v>
      </c>
      <c r="Y25" s="17">
        <f t="shared" si="9"/>
        <v>0</v>
      </c>
      <c r="Z25" s="17">
        <f t="shared" si="9"/>
        <v>0</v>
      </c>
      <c r="AA25" s="17">
        <f t="shared" si="9"/>
        <v>0</v>
      </c>
      <c r="AB25" s="17">
        <f t="shared" si="9"/>
        <v>0</v>
      </c>
      <c r="AC25" s="17">
        <f t="shared" si="9"/>
        <v>0</v>
      </c>
      <c r="AD25" s="17">
        <f t="shared" si="9"/>
        <v>0</v>
      </c>
      <c r="AE25" s="17">
        <f t="shared" si="9"/>
        <v>0</v>
      </c>
      <c r="AF25" s="17">
        <f t="shared" si="9"/>
        <v>0</v>
      </c>
      <c r="AG25" s="17">
        <f t="shared" si="9"/>
        <v>0</v>
      </c>
      <c r="AH25" s="17">
        <f t="shared" si="9"/>
        <v>0</v>
      </c>
      <c r="AI25" s="17">
        <f t="shared" si="9"/>
        <v>0</v>
      </c>
      <c r="AJ25" s="17">
        <f>N25</f>
        <v>0</v>
      </c>
      <c r="AK25" s="17">
        <f>Z25</f>
        <v>0</v>
      </c>
      <c r="AL25" s="17">
        <f>AI25</f>
        <v>0</v>
      </c>
    </row>
  </sheetData>
  <mergeCells count="1">
    <mergeCell ref="A1:A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6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46" customWidth="1"/>
  </cols>
  <sheetData>
    <row r="1" spans="1:36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9" x14ac:dyDescent="0.25">
      <c r="A2" s="1" t="s">
        <v>513</v>
      </c>
    </row>
    <row r="3" spans="1:36" x14ac:dyDescent="0.2">
      <c r="A3" s="2" t="s">
        <v>514</v>
      </c>
    </row>
    <row r="5" spans="1:36" ht="16" x14ac:dyDescent="0.2">
      <c r="A5" s="6" t="s">
        <v>515</v>
      </c>
      <c r="B5" s="7" t="s">
        <v>516</v>
      </c>
      <c r="C5" s="7" t="s">
        <v>517</v>
      </c>
      <c r="D5" s="7" t="s">
        <v>437</v>
      </c>
      <c r="E5" s="7" t="s">
        <v>438</v>
      </c>
      <c r="F5" s="7" t="s">
        <v>439</v>
      </c>
      <c r="G5" s="7" t="s">
        <v>440</v>
      </c>
      <c r="H5" s="7" t="s">
        <v>441</v>
      </c>
      <c r="I5" s="7" t="s">
        <v>442</v>
      </c>
      <c r="J5" s="7" t="s">
        <v>443</v>
      </c>
      <c r="K5" s="7" t="s">
        <v>444</v>
      </c>
      <c r="L5" s="7" t="s">
        <v>445</v>
      </c>
      <c r="M5" s="7" t="s">
        <v>446</v>
      </c>
      <c r="N5" s="7" t="s">
        <v>447</v>
      </c>
      <c r="O5" s="7" t="s">
        <v>448</v>
      </c>
      <c r="P5" s="7" t="s">
        <v>449</v>
      </c>
      <c r="Q5" s="7" t="s">
        <v>450</v>
      </c>
      <c r="R5" s="7" t="s">
        <v>451</v>
      </c>
      <c r="S5" s="7" t="s">
        <v>452</v>
      </c>
      <c r="T5" s="7" t="s">
        <v>453</v>
      </c>
      <c r="U5" s="7" t="s">
        <v>454</v>
      </c>
      <c r="V5" s="7" t="s">
        <v>455</v>
      </c>
      <c r="W5" s="7" t="s">
        <v>456</v>
      </c>
      <c r="X5" s="7" t="s">
        <v>457</v>
      </c>
      <c r="Y5" s="7" t="s">
        <v>458</v>
      </c>
      <c r="Z5" s="7" t="s">
        <v>459</v>
      </c>
      <c r="AA5" s="7" t="s">
        <v>460</v>
      </c>
      <c r="AB5" s="7" t="s">
        <v>461</v>
      </c>
      <c r="AC5" s="7" t="s">
        <v>462</v>
      </c>
      <c r="AD5" s="7" t="s">
        <v>463</v>
      </c>
      <c r="AE5" s="7" t="s">
        <v>464</v>
      </c>
      <c r="AF5" s="7" t="s">
        <v>465</v>
      </c>
      <c r="AG5" s="7" t="s">
        <v>466</v>
      </c>
      <c r="AH5" s="7" t="s">
        <v>467</v>
      </c>
      <c r="AI5" s="7" t="s">
        <v>468</v>
      </c>
      <c r="AJ5" s="7" t="s">
        <v>469</v>
      </c>
    </row>
    <row r="6" spans="1:36" x14ac:dyDescent="0.2">
      <c r="A6" t="s">
        <v>518</v>
      </c>
      <c r="B6" t="s">
        <v>519</v>
      </c>
      <c r="C6" s="20">
        <v>650000</v>
      </c>
      <c r="D6" s="20">
        <v>721261.96</v>
      </c>
      <c r="E6" s="20">
        <v>627056.48</v>
      </c>
      <c r="F6" s="20">
        <v>578379.09</v>
      </c>
      <c r="G6" s="20">
        <v>605752.73</v>
      </c>
      <c r="H6" s="20">
        <v>633995.93999999994</v>
      </c>
      <c r="I6" s="20">
        <v>673995.68</v>
      </c>
      <c r="J6" s="20">
        <v>798770.17</v>
      </c>
      <c r="K6" s="20">
        <v>880647.19</v>
      </c>
      <c r="L6" s="20">
        <v>929953.29</v>
      </c>
      <c r="M6" s="20">
        <v>933387.74</v>
      </c>
      <c r="N6" s="20">
        <v>1110369.25</v>
      </c>
      <c r="O6" s="20">
        <v>943167.72</v>
      </c>
      <c r="P6" s="20">
        <v>984564.19</v>
      </c>
      <c r="Q6" s="20">
        <v>953065.09</v>
      </c>
      <c r="R6" s="20">
        <v>943349.26</v>
      </c>
      <c r="S6" s="20">
        <v>956091.26</v>
      </c>
      <c r="T6" s="20">
        <v>1088287.46</v>
      </c>
      <c r="U6" s="20">
        <v>1124586.6100000001</v>
      </c>
      <c r="V6" s="20">
        <v>1166259.57</v>
      </c>
      <c r="W6" s="20">
        <v>1239555.24</v>
      </c>
      <c r="X6" s="20">
        <v>1286516.95</v>
      </c>
      <c r="Y6" s="20">
        <v>1351939.13</v>
      </c>
      <c r="Z6" s="20">
        <v>1692993.28</v>
      </c>
      <c r="AA6" s="20">
        <v>1370391.69</v>
      </c>
      <c r="AB6" s="20">
        <v>1397855.38</v>
      </c>
      <c r="AC6" s="20">
        <v>1391534.55</v>
      </c>
      <c r="AD6" s="20">
        <v>1416950.81</v>
      </c>
      <c r="AE6" s="20">
        <v>1392544.88</v>
      </c>
      <c r="AF6" s="20">
        <v>1489089.31</v>
      </c>
      <c r="AG6" s="20">
        <v>1592233.26</v>
      </c>
      <c r="AH6" s="20">
        <v>1616043.5</v>
      </c>
      <c r="AI6" s="20">
        <v>1655741.1</v>
      </c>
      <c r="AJ6" s="20">
        <v>1722169.75</v>
      </c>
    </row>
    <row r="7" spans="1:36" x14ac:dyDescent="0.2">
      <c r="A7" t="s">
        <v>520</v>
      </c>
      <c r="B7" t="s">
        <v>521</v>
      </c>
      <c r="C7" s="20">
        <v>3383.03</v>
      </c>
      <c r="D7" s="20">
        <v>19685.71</v>
      </c>
      <c r="E7" s="20">
        <v>13883.33</v>
      </c>
      <c r="F7" s="20">
        <v>16502.91</v>
      </c>
      <c r="G7" s="20">
        <v>28479.759999999998</v>
      </c>
      <c r="H7" s="20">
        <v>20474.84</v>
      </c>
      <c r="I7" s="20">
        <v>22198.51</v>
      </c>
      <c r="J7" s="20">
        <v>18726.45</v>
      </c>
      <c r="K7" s="20">
        <v>36704.76</v>
      </c>
      <c r="L7" s="20">
        <v>26791.919999999998</v>
      </c>
      <c r="M7" s="20">
        <v>27269.71</v>
      </c>
      <c r="N7" s="20">
        <v>56303.9</v>
      </c>
      <c r="O7" s="20">
        <v>36555.56</v>
      </c>
      <c r="P7" s="20">
        <v>25350.67</v>
      </c>
      <c r="Q7" s="20">
        <v>22618.23</v>
      </c>
      <c r="R7" s="20">
        <v>63244.05</v>
      </c>
      <c r="S7" s="20">
        <v>16743</v>
      </c>
      <c r="T7" s="20">
        <v>42876.76</v>
      </c>
      <c r="U7" s="20">
        <v>39142.400000000001</v>
      </c>
      <c r="V7" s="20">
        <v>22663.200000000001</v>
      </c>
      <c r="W7" s="20">
        <v>25620.04</v>
      </c>
      <c r="X7" s="20">
        <v>58894.26</v>
      </c>
      <c r="Y7" s="20">
        <v>49563.89</v>
      </c>
      <c r="Z7" s="20">
        <v>30160.45</v>
      </c>
      <c r="AA7" s="20">
        <v>29123.69</v>
      </c>
      <c r="AB7" s="20">
        <v>55743.89</v>
      </c>
      <c r="AC7" s="20">
        <v>45238.98</v>
      </c>
      <c r="AD7" s="20">
        <v>42217.98</v>
      </c>
      <c r="AE7" s="20">
        <v>32454.07</v>
      </c>
      <c r="AF7" s="20">
        <v>21407.759999999998</v>
      </c>
      <c r="AG7" s="20">
        <v>31690.35</v>
      </c>
      <c r="AH7" s="20">
        <v>21991.11</v>
      </c>
      <c r="AI7" s="20">
        <v>32390.42</v>
      </c>
      <c r="AJ7" s="20">
        <v>23860.32</v>
      </c>
    </row>
    <row r="8" spans="1:36" x14ac:dyDescent="0.2">
      <c r="A8" t="s">
        <v>522</v>
      </c>
      <c r="B8" t="s">
        <v>523</v>
      </c>
      <c r="C8" s="20">
        <v>6408.57</v>
      </c>
      <c r="D8" s="20">
        <v>30416.880000000001</v>
      </c>
      <c r="E8" s="20">
        <v>13447.22</v>
      </c>
      <c r="F8" s="20">
        <v>9016.99</v>
      </c>
      <c r="G8" s="20">
        <v>10993.56</v>
      </c>
      <c r="H8" s="20">
        <v>4129.66</v>
      </c>
      <c r="I8" s="20">
        <v>15665.96</v>
      </c>
      <c r="J8" s="20">
        <v>13918.21</v>
      </c>
      <c r="K8" s="20">
        <v>17819.45</v>
      </c>
      <c r="L8" s="20">
        <v>4965.16</v>
      </c>
      <c r="M8" s="20">
        <v>28403.06</v>
      </c>
      <c r="N8" s="20">
        <v>24066.54</v>
      </c>
      <c r="O8" s="20">
        <v>13255.66</v>
      </c>
      <c r="P8" s="20">
        <v>25573.19</v>
      </c>
      <c r="Q8" s="20">
        <v>15742.66</v>
      </c>
      <c r="R8" s="20">
        <v>8533.1200000000008</v>
      </c>
      <c r="S8" s="20">
        <v>11774.41</v>
      </c>
      <c r="T8" s="20">
        <v>29145.79</v>
      </c>
      <c r="U8" s="20">
        <v>12795.14</v>
      </c>
      <c r="V8" s="20">
        <v>7487.94</v>
      </c>
      <c r="W8" s="20">
        <v>4976.53</v>
      </c>
      <c r="X8" s="20">
        <v>23188.1</v>
      </c>
      <c r="Y8" s="20">
        <v>18263.64</v>
      </c>
      <c r="Z8" s="20">
        <v>19129.55</v>
      </c>
      <c r="AA8" s="20">
        <v>19582.5</v>
      </c>
      <c r="AB8" s="20">
        <v>13397.2</v>
      </c>
      <c r="AC8" s="20">
        <v>34672.33</v>
      </c>
      <c r="AD8" s="20">
        <v>17806.939999999999</v>
      </c>
      <c r="AE8" s="20">
        <v>5054.12</v>
      </c>
      <c r="AF8" s="20">
        <v>8124.92</v>
      </c>
      <c r="AG8" s="20">
        <v>15714.62</v>
      </c>
      <c r="AH8" s="20">
        <v>12251.29</v>
      </c>
      <c r="AI8" s="20">
        <v>26059.7</v>
      </c>
      <c r="AJ8" s="20">
        <v>15449.2</v>
      </c>
    </row>
    <row r="9" spans="1:36" x14ac:dyDescent="0.2">
      <c r="A9" t="s">
        <v>524</v>
      </c>
      <c r="B9" t="s">
        <v>525</v>
      </c>
      <c r="C9" s="20">
        <v>0</v>
      </c>
      <c r="D9" s="20">
        <v>21088.79</v>
      </c>
      <c r="E9" s="20">
        <v>26803.03</v>
      </c>
      <c r="F9" s="20">
        <v>33839.21</v>
      </c>
      <c r="G9" s="20">
        <v>33627.68</v>
      </c>
      <c r="H9" s="20">
        <v>29745.52</v>
      </c>
      <c r="I9" s="20">
        <v>23927.22</v>
      </c>
      <c r="J9" s="20">
        <v>36149.300000000003</v>
      </c>
      <c r="K9" s="20">
        <v>24808.21</v>
      </c>
      <c r="L9" s="20">
        <v>39295.440000000002</v>
      </c>
      <c r="M9" s="20">
        <v>23924.720000000001</v>
      </c>
      <c r="N9" s="20">
        <v>54931.21</v>
      </c>
      <c r="O9" s="20">
        <v>35744.339999999997</v>
      </c>
      <c r="P9" s="20">
        <v>49115.25</v>
      </c>
      <c r="Q9" s="20">
        <v>48013.26</v>
      </c>
      <c r="R9" s="20">
        <v>59914.12</v>
      </c>
      <c r="S9" s="20">
        <v>31017.65</v>
      </c>
      <c r="T9" s="20">
        <v>41255.599999999999</v>
      </c>
      <c r="U9" s="20">
        <v>41159.57</v>
      </c>
      <c r="V9" s="20">
        <v>47137.02</v>
      </c>
      <c r="W9" s="20">
        <v>77657.399999999994</v>
      </c>
      <c r="X9" s="20">
        <v>35979.49</v>
      </c>
      <c r="Y9" s="20">
        <v>43528.34</v>
      </c>
      <c r="Z9" s="20">
        <v>21331.18</v>
      </c>
      <c r="AA9" s="20">
        <v>34699.24</v>
      </c>
      <c r="AB9" s="20">
        <v>49864.55</v>
      </c>
      <c r="AC9" s="20">
        <v>28833.64</v>
      </c>
      <c r="AD9" s="20">
        <v>42283.99</v>
      </c>
      <c r="AE9" s="20">
        <v>23253.42</v>
      </c>
      <c r="AF9" s="20">
        <v>43385.41</v>
      </c>
      <c r="AG9" s="20">
        <v>27578.21</v>
      </c>
      <c r="AH9" s="20">
        <v>38748.53</v>
      </c>
      <c r="AI9" s="20">
        <v>50407.76</v>
      </c>
      <c r="AJ9" s="20">
        <v>34285.58</v>
      </c>
    </row>
    <row r="10" spans="1:36" x14ac:dyDescent="0.2">
      <c r="A10" t="s">
        <v>526</v>
      </c>
      <c r="B10" t="s">
        <v>253</v>
      </c>
      <c r="C10" s="20">
        <v>711662.28</v>
      </c>
      <c r="D10" s="20">
        <v>651832.59</v>
      </c>
      <c r="E10" s="20">
        <v>706451.19</v>
      </c>
      <c r="F10" s="20">
        <v>711753.46</v>
      </c>
      <c r="G10" s="20">
        <v>715171.42</v>
      </c>
      <c r="H10" s="20">
        <v>668829.25</v>
      </c>
      <c r="I10" s="20">
        <v>650325.65</v>
      </c>
      <c r="J10" s="20">
        <v>629786.02</v>
      </c>
      <c r="K10" s="20">
        <v>674277.26</v>
      </c>
      <c r="L10" s="20">
        <v>610286.82999999996</v>
      </c>
      <c r="M10" s="20">
        <v>606611.43999999994</v>
      </c>
      <c r="N10" s="20">
        <v>524205.39</v>
      </c>
      <c r="O10" s="20">
        <v>574624.47</v>
      </c>
      <c r="P10" s="20">
        <v>493836.59</v>
      </c>
      <c r="Q10" s="20">
        <v>536462.44999999995</v>
      </c>
      <c r="R10" s="20">
        <v>579102.47</v>
      </c>
      <c r="S10" s="20">
        <v>585192.04</v>
      </c>
      <c r="T10" s="20">
        <v>531962.23</v>
      </c>
      <c r="U10" s="20">
        <v>523465.7</v>
      </c>
      <c r="V10" s="20">
        <v>535828.72</v>
      </c>
      <c r="W10" s="20">
        <v>568502.81000000006</v>
      </c>
      <c r="X10" s="20">
        <v>552649.75</v>
      </c>
      <c r="Y10" s="20">
        <v>487615.27</v>
      </c>
      <c r="Z10" s="20">
        <v>426041.41</v>
      </c>
      <c r="AA10" s="20">
        <v>521690.17</v>
      </c>
      <c r="AB10" s="20">
        <v>406070.59</v>
      </c>
      <c r="AC10" s="20">
        <v>476623.64</v>
      </c>
      <c r="AD10" s="20">
        <v>518941.52</v>
      </c>
      <c r="AE10" s="20">
        <v>508618.6</v>
      </c>
      <c r="AF10" s="20">
        <v>515565.92</v>
      </c>
      <c r="AG10" s="20">
        <v>524688.74</v>
      </c>
      <c r="AH10" s="20">
        <v>493648.02</v>
      </c>
      <c r="AI10" s="20">
        <v>555387.46</v>
      </c>
      <c r="AJ10" s="20">
        <v>505080.18</v>
      </c>
    </row>
    <row r="11" spans="1:36" x14ac:dyDescent="0.2">
      <c r="A11" t="s">
        <v>527</v>
      </c>
      <c r="B11" t="s">
        <v>528</v>
      </c>
      <c r="C11" s="20">
        <v>348548.36</v>
      </c>
      <c r="D11" s="20">
        <v>331461.21000000002</v>
      </c>
      <c r="E11" s="20">
        <v>296506.12</v>
      </c>
      <c r="F11" s="20">
        <v>282554.34000000003</v>
      </c>
      <c r="G11" s="20">
        <v>301602.39</v>
      </c>
      <c r="H11" s="20">
        <v>325644.34999999998</v>
      </c>
      <c r="I11" s="20">
        <v>293731.38</v>
      </c>
      <c r="J11" s="20">
        <v>266097.5</v>
      </c>
      <c r="K11" s="20">
        <v>284554.53000000003</v>
      </c>
      <c r="L11" s="20">
        <v>281715.31</v>
      </c>
      <c r="M11" s="20">
        <v>315499.96999999997</v>
      </c>
      <c r="N11" s="20">
        <v>315587.61</v>
      </c>
      <c r="O11" s="20">
        <v>291769.67</v>
      </c>
      <c r="P11" s="20">
        <v>328738.06</v>
      </c>
      <c r="Q11" s="20">
        <v>302607.96999999997</v>
      </c>
      <c r="R11" s="20">
        <v>327740.65000000002</v>
      </c>
      <c r="S11" s="20">
        <v>337975.85</v>
      </c>
      <c r="T11" s="20">
        <v>331542.68</v>
      </c>
      <c r="U11" s="20">
        <v>301436.90999999997</v>
      </c>
      <c r="V11" s="20">
        <v>286624.09000000003</v>
      </c>
      <c r="W11" s="20">
        <v>262169.11</v>
      </c>
      <c r="X11" s="20">
        <v>299425.44</v>
      </c>
      <c r="Y11" s="20">
        <v>306337.94</v>
      </c>
      <c r="Z11" s="20">
        <v>327870.46999999997</v>
      </c>
      <c r="AA11" s="20">
        <v>363035.59</v>
      </c>
      <c r="AB11" s="20">
        <v>350632.59</v>
      </c>
      <c r="AC11" s="20">
        <v>335230.09999999998</v>
      </c>
      <c r="AD11" s="20">
        <v>356345.26</v>
      </c>
      <c r="AE11" s="20">
        <v>371942.58</v>
      </c>
      <c r="AF11" s="20">
        <v>336003.59</v>
      </c>
      <c r="AG11" s="20">
        <v>295114.59999999998</v>
      </c>
      <c r="AH11" s="20">
        <v>270991.28000000003</v>
      </c>
      <c r="AI11" s="20">
        <v>297570.67</v>
      </c>
      <c r="AJ11" s="20">
        <v>279846.23</v>
      </c>
    </row>
    <row r="12" spans="1:36" x14ac:dyDescent="0.2">
      <c r="A12" t="s">
        <v>529</v>
      </c>
      <c r="B12" t="s">
        <v>257</v>
      </c>
      <c r="C12" s="20">
        <v>0</v>
      </c>
      <c r="D12" s="20">
        <v>57200</v>
      </c>
      <c r="E12" s="20">
        <v>52000</v>
      </c>
      <c r="F12" s="20">
        <v>46800</v>
      </c>
      <c r="G12" s="20">
        <v>41600</v>
      </c>
      <c r="H12" s="20">
        <v>36400</v>
      </c>
      <c r="I12" s="20">
        <v>31200</v>
      </c>
      <c r="J12" s="20">
        <v>26000</v>
      </c>
      <c r="K12" s="20">
        <v>20800</v>
      </c>
      <c r="L12" s="20">
        <v>15600</v>
      </c>
      <c r="M12" s="20">
        <v>10400</v>
      </c>
      <c r="N12" s="20">
        <v>5200</v>
      </c>
      <c r="O12" s="20">
        <v>0</v>
      </c>
      <c r="P12" s="20">
        <v>59488</v>
      </c>
      <c r="Q12" s="20">
        <v>54080</v>
      </c>
      <c r="R12" s="20">
        <v>48672</v>
      </c>
      <c r="S12" s="20">
        <v>43264</v>
      </c>
      <c r="T12" s="20">
        <v>37856</v>
      </c>
      <c r="U12" s="20">
        <v>32448</v>
      </c>
      <c r="V12" s="20">
        <v>27040</v>
      </c>
      <c r="W12" s="20">
        <v>21632</v>
      </c>
      <c r="X12" s="20">
        <v>16224</v>
      </c>
      <c r="Y12" s="20">
        <v>10816</v>
      </c>
      <c r="Z12" s="20">
        <v>5408</v>
      </c>
      <c r="AA12" s="20">
        <v>0</v>
      </c>
      <c r="AB12" s="20">
        <v>61867.519999999997</v>
      </c>
      <c r="AC12" s="20">
        <v>56243.199999999997</v>
      </c>
      <c r="AD12" s="20">
        <v>50618.879999999997</v>
      </c>
      <c r="AE12" s="20">
        <v>44994.559999999998</v>
      </c>
      <c r="AF12" s="20">
        <v>39370.239999999998</v>
      </c>
      <c r="AG12" s="20">
        <v>33745.919999999998</v>
      </c>
      <c r="AH12" s="20">
        <v>28121.599999999999</v>
      </c>
      <c r="AI12" s="20">
        <v>22497.279999999999</v>
      </c>
      <c r="AJ12" s="20">
        <v>16872.96</v>
      </c>
    </row>
    <row r="13" spans="1:36" x14ac:dyDescent="0.2">
      <c r="A13" t="s">
        <v>530</v>
      </c>
      <c r="B13" t="s">
        <v>531</v>
      </c>
      <c r="C13" s="20">
        <v>0</v>
      </c>
      <c r="D13" s="20">
        <v>28808.16</v>
      </c>
      <c r="E13" s="20">
        <v>53846.53</v>
      </c>
      <c r="F13" s="20">
        <v>77451.73</v>
      </c>
      <c r="G13" s="20">
        <v>24424.43</v>
      </c>
      <c r="H13" s="20">
        <v>54480.14</v>
      </c>
      <c r="I13" s="20">
        <v>77665.19</v>
      </c>
      <c r="J13" s="20">
        <v>24920.29</v>
      </c>
      <c r="K13" s="20">
        <v>53404.32</v>
      </c>
      <c r="L13" s="20">
        <v>77598.490000000005</v>
      </c>
      <c r="M13" s="20">
        <v>26769.19</v>
      </c>
      <c r="N13" s="20">
        <v>52486.91</v>
      </c>
      <c r="O13" s="20">
        <v>81295.710000000006</v>
      </c>
      <c r="P13" s="20">
        <v>27740.7</v>
      </c>
      <c r="Q13" s="20">
        <v>54559.35</v>
      </c>
      <c r="R13" s="20">
        <v>90514.44</v>
      </c>
      <c r="S13" s="20">
        <v>28884.959999999999</v>
      </c>
      <c r="T13" s="20">
        <v>58297.02</v>
      </c>
      <c r="U13" s="20">
        <v>85528.22</v>
      </c>
      <c r="V13" s="20">
        <v>27297.13</v>
      </c>
      <c r="W13" s="20">
        <v>55363.64</v>
      </c>
      <c r="X13" s="20">
        <v>85973.72</v>
      </c>
      <c r="Y13" s="20">
        <v>26261.72</v>
      </c>
      <c r="Z13" s="20">
        <v>55595.38</v>
      </c>
      <c r="AA13" s="20">
        <v>90792.16</v>
      </c>
      <c r="AB13" s="20">
        <v>28387.46</v>
      </c>
      <c r="AC13" s="20">
        <v>58891.28</v>
      </c>
      <c r="AD13" s="20">
        <v>92688.8</v>
      </c>
      <c r="AE13" s="20">
        <v>32779.629999999997</v>
      </c>
      <c r="AF13" s="20">
        <v>64107.02</v>
      </c>
      <c r="AG13" s="20">
        <v>95535.82</v>
      </c>
      <c r="AH13" s="20">
        <v>27324.85</v>
      </c>
      <c r="AI13" s="20">
        <v>60243.22</v>
      </c>
      <c r="AJ13" s="20">
        <v>87100.05</v>
      </c>
    </row>
    <row r="14" spans="1:36" x14ac:dyDescent="0.2">
      <c r="A14" t="s">
        <v>532</v>
      </c>
      <c r="B14" t="s">
        <v>533</v>
      </c>
      <c r="C14" s="20">
        <v>420000</v>
      </c>
      <c r="D14" s="20">
        <v>420000</v>
      </c>
      <c r="E14" s="20">
        <v>420000</v>
      </c>
      <c r="F14" s="20">
        <v>420000</v>
      </c>
      <c r="G14" s="20">
        <v>420000</v>
      </c>
      <c r="H14" s="20">
        <v>505000</v>
      </c>
      <c r="I14" s="20">
        <v>505000</v>
      </c>
      <c r="J14" s="20">
        <v>505000</v>
      </c>
      <c r="K14" s="20">
        <v>505000</v>
      </c>
      <c r="L14" s="20">
        <v>505000</v>
      </c>
      <c r="M14" s="20">
        <v>505000</v>
      </c>
      <c r="N14" s="20">
        <v>505000</v>
      </c>
      <c r="O14" s="20">
        <v>505000</v>
      </c>
      <c r="P14" s="20">
        <v>505000</v>
      </c>
      <c r="Q14" s="20">
        <v>505000</v>
      </c>
      <c r="R14" s="20">
        <v>505000</v>
      </c>
      <c r="S14" s="20">
        <v>505000</v>
      </c>
      <c r="T14" s="20">
        <v>505000</v>
      </c>
      <c r="U14" s="20">
        <v>505000</v>
      </c>
      <c r="V14" s="20">
        <v>505000</v>
      </c>
      <c r="W14" s="20">
        <v>505000</v>
      </c>
      <c r="X14" s="20">
        <v>505000</v>
      </c>
      <c r="Y14" s="20">
        <v>505000</v>
      </c>
      <c r="Z14" s="20">
        <v>505000</v>
      </c>
      <c r="AA14" s="20">
        <v>505000</v>
      </c>
      <c r="AB14" s="20">
        <v>505000</v>
      </c>
      <c r="AC14" s="20">
        <v>505000</v>
      </c>
      <c r="AD14" s="20">
        <v>505000</v>
      </c>
      <c r="AE14" s="20">
        <v>533000</v>
      </c>
      <c r="AF14" s="20">
        <v>533000</v>
      </c>
      <c r="AG14" s="20">
        <v>533000</v>
      </c>
      <c r="AH14" s="20">
        <v>533000</v>
      </c>
      <c r="AI14" s="20">
        <v>533000</v>
      </c>
      <c r="AJ14" s="20">
        <v>533000</v>
      </c>
    </row>
    <row r="15" spans="1:36" x14ac:dyDescent="0.2">
      <c r="A15" t="s">
        <v>534</v>
      </c>
      <c r="B15" t="s">
        <v>535</v>
      </c>
      <c r="C15" s="20">
        <v>145000</v>
      </c>
      <c r="D15" s="20">
        <v>145000</v>
      </c>
      <c r="E15" s="20">
        <v>145000</v>
      </c>
      <c r="F15" s="20">
        <v>145000</v>
      </c>
      <c r="G15" s="20">
        <v>145000</v>
      </c>
      <c r="H15" s="20">
        <v>145000</v>
      </c>
      <c r="I15" s="20">
        <v>145000</v>
      </c>
      <c r="J15" s="20">
        <v>145000</v>
      </c>
      <c r="K15" s="20">
        <v>145000</v>
      </c>
      <c r="L15" s="20">
        <v>145000</v>
      </c>
      <c r="M15" s="20">
        <v>145000</v>
      </c>
      <c r="N15" s="20">
        <v>145000</v>
      </c>
      <c r="O15" s="20">
        <v>145000</v>
      </c>
      <c r="P15" s="20">
        <v>145000</v>
      </c>
      <c r="Q15" s="20">
        <v>145000</v>
      </c>
      <c r="R15" s="20">
        <v>193000</v>
      </c>
      <c r="S15" s="20">
        <v>193000</v>
      </c>
      <c r="T15" s="20">
        <v>193000</v>
      </c>
      <c r="U15" s="20">
        <v>193000</v>
      </c>
      <c r="V15" s="20">
        <v>193000</v>
      </c>
      <c r="W15" s="20">
        <v>193000</v>
      </c>
      <c r="X15" s="20">
        <v>193000</v>
      </c>
      <c r="Y15" s="20">
        <v>193000</v>
      </c>
      <c r="Z15" s="20">
        <v>193000</v>
      </c>
      <c r="AA15" s="20">
        <v>193000</v>
      </c>
      <c r="AB15" s="20">
        <v>193000</v>
      </c>
      <c r="AC15" s="20">
        <v>193000</v>
      </c>
      <c r="AD15" s="20">
        <v>193000</v>
      </c>
      <c r="AE15" s="20">
        <v>193000</v>
      </c>
      <c r="AF15" s="20">
        <v>193000</v>
      </c>
      <c r="AG15" s="20">
        <v>193000</v>
      </c>
      <c r="AH15" s="20">
        <v>193000</v>
      </c>
      <c r="AI15" s="20">
        <v>193000</v>
      </c>
      <c r="AJ15" s="20">
        <v>193000</v>
      </c>
    </row>
    <row r="16" spans="1:36" x14ac:dyDescent="0.2">
      <c r="A16" t="s">
        <v>536</v>
      </c>
      <c r="B16" t="s">
        <v>537</v>
      </c>
      <c r="C16" s="20">
        <v>160000</v>
      </c>
      <c r="D16" s="20">
        <v>160000</v>
      </c>
      <c r="E16" s="20">
        <v>160000</v>
      </c>
      <c r="F16" s="20">
        <v>160000</v>
      </c>
      <c r="G16" s="20">
        <v>160000</v>
      </c>
      <c r="H16" s="20">
        <v>160000</v>
      </c>
      <c r="I16" s="20">
        <v>160000</v>
      </c>
      <c r="J16" s="20">
        <v>160000</v>
      </c>
      <c r="K16" s="20">
        <v>160000</v>
      </c>
      <c r="L16" s="20">
        <v>160000</v>
      </c>
      <c r="M16" s="20">
        <v>160000</v>
      </c>
      <c r="N16" s="20">
        <v>160000</v>
      </c>
      <c r="O16" s="20">
        <v>160000</v>
      </c>
      <c r="P16" s="20">
        <v>160000</v>
      </c>
      <c r="Q16" s="20">
        <v>160000</v>
      </c>
      <c r="R16" s="20">
        <v>160000</v>
      </c>
      <c r="S16" s="20">
        <v>160000</v>
      </c>
      <c r="T16" s="20">
        <v>160000</v>
      </c>
      <c r="U16" s="20">
        <v>160000</v>
      </c>
      <c r="V16" s="20">
        <v>160000</v>
      </c>
      <c r="W16" s="20">
        <v>160000</v>
      </c>
      <c r="X16" s="20">
        <v>196000</v>
      </c>
      <c r="Y16" s="20">
        <v>196000</v>
      </c>
      <c r="Z16" s="20">
        <v>196000</v>
      </c>
      <c r="AA16" s="20">
        <v>196000</v>
      </c>
      <c r="AB16" s="20">
        <v>196000</v>
      </c>
      <c r="AC16" s="20">
        <v>196000</v>
      </c>
      <c r="AD16" s="20">
        <v>196000</v>
      </c>
      <c r="AE16" s="20">
        <v>196000</v>
      </c>
      <c r="AF16" s="20">
        <v>196000</v>
      </c>
      <c r="AG16" s="20">
        <v>196000</v>
      </c>
      <c r="AH16" s="20">
        <v>196000</v>
      </c>
      <c r="AI16" s="20">
        <v>196000</v>
      </c>
      <c r="AJ16" s="20">
        <v>196000</v>
      </c>
    </row>
    <row r="17" spans="1:36" x14ac:dyDescent="0.2">
      <c r="A17" t="s">
        <v>538</v>
      </c>
      <c r="B17" t="s">
        <v>265</v>
      </c>
      <c r="C17" s="20">
        <v>-390000</v>
      </c>
      <c r="D17" s="20">
        <v>-397892.86</v>
      </c>
      <c r="E17" s="20">
        <v>-405785.72</v>
      </c>
      <c r="F17" s="20">
        <v>-413678.58</v>
      </c>
      <c r="G17" s="20">
        <v>-421571.44</v>
      </c>
      <c r="H17" s="20">
        <v>-429464.3</v>
      </c>
      <c r="I17" s="20">
        <v>-438065.49</v>
      </c>
      <c r="J17" s="20">
        <v>-446666.68</v>
      </c>
      <c r="K17" s="20">
        <v>-455267.87</v>
      </c>
      <c r="L17" s="20">
        <v>-463869.06</v>
      </c>
      <c r="M17" s="20">
        <v>-472470.25</v>
      </c>
      <c r="N17" s="20">
        <v>-481071.44</v>
      </c>
      <c r="O17" s="20">
        <v>-489672.63</v>
      </c>
      <c r="P17" s="20">
        <v>-498273.82</v>
      </c>
      <c r="Q17" s="20">
        <v>-506875.01</v>
      </c>
      <c r="R17" s="20">
        <v>-515476.2</v>
      </c>
      <c r="S17" s="20">
        <v>-524648.81999999995</v>
      </c>
      <c r="T17" s="20">
        <v>-533821.43999999994</v>
      </c>
      <c r="U17" s="20">
        <v>-542994.06000000006</v>
      </c>
      <c r="V17" s="20">
        <v>-552166.68000000005</v>
      </c>
      <c r="W17" s="20">
        <v>-561339.30000000005</v>
      </c>
      <c r="X17" s="20">
        <v>-570511.92000000004</v>
      </c>
      <c r="Y17" s="20">
        <v>-580684.54</v>
      </c>
      <c r="Z17" s="20">
        <v>-590857.16</v>
      </c>
      <c r="AA17" s="20">
        <v>-601029.78</v>
      </c>
      <c r="AB17" s="20">
        <v>-611202.4</v>
      </c>
      <c r="AC17" s="20">
        <v>-621375.02</v>
      </c>
      <c r="AD17" s="20">
        <v>-629547.55000000005</v>
      </c>
      <c r="AE17" s="20">
        <v>-637053.5</v>
      </c>
      <c r="AF17" s="20">
        <v>-644792.78</v>
      </c>
      <c r="AG17" s="20">
        <v>-652532.06000000006</v>
      </c>
      <c r="AH17" s="20">
        <v>-658759.44999999995</v>
      </c>
      <c r="AI17" s="20">
        <v>-664772.54</v>
      </c>
      <c r="AJ17" s="20">
        <v>-670785.63</v>
      </c>
    </row>
    <row r="18" spans="1:36" x14ac:dyDescent="0.2">
      <c r="A18" t="s">
        <v>539</v>
      </c>
      <c r="B18" t="s">
        <v>540</v>
      </c>
      <c r="C18" s="20">
        <v>-409303.05</v>
      </c>
      <c r="D18" s="20">
        <v>-466800.69</v>
      </c>
      <c r="E18" s="20">
        <v>-418578.66</v>
      </c>
      <c r="F18" s="20">
        <v>-381372.47</v>
      </c>
      <c r="G18" s="20">
        <v>-392834.74</v>
      </c>
      <c r="H18" s="20">
        <v>-401398.59</v>
      </c>
      <c r="I18" s="20">
        <v>-370733.74</v>
      </c>
      <c r="J18" s="20">
        <v>-412691.43</v>
      </c>
      <c r="K18" s="20">
        <v>-477305.83</v>
      </c>
      <c r="L18" s="20">
        <v>-377729.76</v>
      </c>
      <c r="M18" s="20">
        <v>-409685.43</v>
      </c>
      <c r="N18" s="20">
        <v>-409349.2</v>
      </c>
      <c r="O18" s="20">
        <v>-476724.93</v>
      </c>
      <c r="P18" s="20">
        <v>-452134.32</v>
      </c>
      <c r="Q18" s="20">
        <v>-447574.59</v>
      </c>
      <c r="R18" s="20">
        <v>-582205.48</v>
      </c>
      <c r="S18" s="20">
        <v>-467601.58</v>
      </c>
      <c r="T18" s="20">
        <v>-475882.45</v>
      </c>
      <c r="U18" s="20">
        <v>-443259.6</v>
      </c>
      <c r="V18" s="20">
        <v>-458355.81</v>
      </c>
      <c r="W18" s="20">
        <v>-468054.88</v>
      </c>
      <c r="X18" s="20">
        <v>-470359.22</v>
      </c>
      <c r="Y18" s="20">
        <v>-403622.84</v>
      </c>
      <c r="Z18" s="20">
        <v>-478736.01</v>
      </c>
      <c r="AA18" s="20">
        <v>-578213.5</v>
      </c>
      <c r="AB18" s="20">
        <v>-455161.84</v>
      </c>
      <c r="AC18" s="20">
        <v>-520392.81</v>
      </c>
      <c r="AD18" s="20">
        <v>-594239.01</v>
      </c>
      <c r="AE18" s="20">
        <v>-514993.18</v>
      </c>
      <c r="AF18" s="20">
        <v>-492972.67</v>
      </c>
      <c r="AG18" s="20">
        <v>-532085.93000000005</v>
      </c>
      <c r="AH18" s="20">
        <v>-454125.06</v>
      </c>
      <c r="AI18" s="20">
        <v>-554166.27</v>
      </c>
      <c r="AJ18" s="20">
        <v>-428188.68</v>
      </c>
    </row>
    <row r="19" spans="1:36" x14ac:dyDescent="0.2">
      <c r="A19" t="s">
        <v>541</v>
      </c>
      <c r="B19" t="s">
        <v>542</v>
      </c>
      <c r="C19" s="20">
        <v>-91331.41</v>
      </c>
      <c r="D19" s="20">
        <v>-91331.41</v>
      </c>
      <c r="E19" s="20">
        <v>-70308.160000000003</v>
      </c>
      <c r="F19" s="20">
        <v>-61403.97</v>
      </c>
      <c r="G19" s="20">
        <v>-72250.399999999994</v>
      </c>
      <c r="H19" s="20">
        <v>-83036.83</v>
      </c>
      <c r="I19" s="20">
        <v>-68727.759999999995</v>
      </c>
      <c r="J19" s="20">
        <v>-63842.26</v>
      </c>
      <c r="K19" s="20">
        <v>-64913.68</v>
      </c>
      <c r="L19" s="20">
        <v>-82571.08</v>
      </c>
      <c r="M19" s="20">
        <v>-85728.38</v>
      </c>
      <c r="N19" s="20">
        <v>-84073.1</v>
      </c>
      <c r="O19" s="20">
        <v>-80168.14</v>
      </c>
      <c r="P19" s="20">
        <v>-81969.75</v>
      </c>
      <c r="Q19" s="20">
        <v>-79451.11</v>
      </c>
      <c r="R19" s="20">
        <v>-65904.73</v>
      </c>
      <c r="S19" s="20">
        <v>-90631.28</v>
      </c>
      <c r="T19" s="20">
        <v>-88360.11</v>
      </c>
      <c r="U19" s="20">
        <v>-78933.48</v>
      </c>
      <c r="V19" s="20">
        <v>-64845.99</v>
      </c>
      <c r="W19" s="20">
        <v>-66429.8</v>
      </c>
      <c r="X19" s="20">
        <v>-86972.6</v>
      </c>
      <c r="Y19" s="20">
        <v>-86834.4</v>
      </c>
      <c r="Z19" s="20">
        <v>-91352.48</v>
      </c>
      <c r="AA19" s="20">
        <v>-87272.67</v>
      </c>
      <c r="AB19" s="20">
        <v>-93221.72</v>
      </c>
      <c r="AC19" s="20">
        <v>-87768.56</v>
      </c>
      <c r="AD19" s="20">
        <v>-65959.5</v>
      </c>
      <c r="AE19" s="20">
        <v>-94219.53</v>
      </c>
      <c r="AF19" s="20">
        <v>-87170.07</v>
      </c>
      <c r="AG19" s="20">
        <v>-78553.02</v>
      </c>
      <c r="AH19" s="20">
        <v>-69870.820000000007</v>
      </c>
      <c r="AI19" s="20">
        <v>-75754.59</v>
      </c>
      <c r="AJ19" s="20">
        <v>-85812.02</v>
      </c>
    </row>
    <row r="20" spans="1:36" x14ac:dyDescent="0.2">
      <c r="A20" t="s">
        <v>543</v>
      </c>
      <c r="B20" t="s">
        <v>273</v>
      </c>
      <c r="C20" s="20">
        <v>-61873.94</v>
      </c>
      <c r="D20" s="20">
        <v>-61873.95</v>
      </c>
      <c r="E20" s="20">
        <v>-57112.98</v>
      </c>
      <c r="F20" s="20">
        <v>-60499.86</v>
      </c>
      <c r="G20" s="20">
        <v>-63235.72</v>
      </c>
      <c r="H20" s="20">
        <v>-63397.88</v>
      </c>
      <c r="I20" s="20">
        <v>-60830.18</v>
      </c>
      <c r="J20" s="20">
        <v>-62479.53</v>
      </c>
      <c r="K20" s="20">
        <v>-63169.47</v>
      </c>
      <c r="L20" s="20">
        <v>-60572.57</v>
      </c>
      <c r="M20" s="20">
        <v>-62173.51</v>
      </c>
      <c r="N20" s="20">
        <v>-63566.62</v>
      </c>
      <c r="O20" s="20">
        <v>-59041.61</v>
      </c>
      <c r="P20" s="20">
        <v>-66148.800000000003</v>
      </c>
      <c r="Q20" s="20">
        <v>-59746.79</v>
      </c>
      <c r="R20" s="20">
        <v>-65439.57</v>
      </c>
      <c r="S20" s="20">
        <v>-66878.990000000005</v>
      </c>
      <c r="T20" s="20">
        <v>-67922.929999999993</v>
      </c>
      <c r="U20" s="20">
        <v>-63302.17</v>
      </c>
      <c r="V20" s="20">
        <v>-63692.33</v>
      </c>
      <c r="W20" s="20">
        <v>-66138.509999999995</v>
      </c>
      <c r="X20" s="20">
        <v>-66548.95</v>
      </c>
      <c r="Y20" s="20">
        <v>-67136.11</v>
      </c>
      <c r="Z20" s="20">
        <v>-66939.62</v>
      </c>
      <c r="AA20" s="20">
        <v>-64867.91</v>
      </c>
      <c r="AB20" s="20">
        <v>-71473.27</v>
      </c>
      <c r="AC20" s="20">
        <v>-63756.24</v>
      </c>
      <c r="AD20" s="20">
        <v>-69798.960000000006</v>
      </c>
      <c r="AE20" s="20">
        <v>-67271.64</v>
      </c>
      <c r="AF20" s="20">
        <v>-68830.05</v>
      </c>
      <c r="AG20" s="20">
        <v>-68037.56</v>
      </c>
      <c r="AH20" s="20">
        <v>-68865.83</v>
      </c>
      <c r="AI20" s="20">
        <v>-68793.36</v>
      </c>
      <c r="AJ20" s="20">
        <v>-68086</v>
      </c>
    </row>
    <row r="21" spans="1:36" x14ac:dyDescent="0.2">
      <c r="A21" t="s">
        <v>544</v>
      </c>
      <c r="B21" t="s">
        <v>545</v>
      </c>
      <c r="C21" s="20">
        <v>0</v>
      </c>
      <c r="D21" s="20">
        <v>-44573.760000000002</v>
      </c>
      <c r="E21" s="20">
        <v>-76223.09</v>
      </c>
      <c r="F21" s="20">
        <v>-109709.16</v>
      </c>
      <c r="G21" s="20">
        <v>-31437.27</v>
      </c>
      <c r="H21" s="20">
        <v>-68221.56</v>
      </c>
      <c r="I21" s="20">
        <v>-104613.86</v>
      </c>
      <c r="J21" s="20">
        <v>-38870.160000000003</v>
      </c>
      <c r="K21" s="20">
        <v>-73957.259999999995</v>
      </c>
      <c r="L21" s="20">
        <v>-110724.1</v>
      </c>
      <c r="M21" s="20">
        <v>-32930.6</v>
      </c>
      <c r="N21" s="20">
        <v>-75048.850000000006</v>
      </c>
      <c r="O21" s="20">
        <v>-111403.26</v>
      </c>
      <c r="P21" s="20">
        <v>-40028.300000000003</v>
      </c>
      <c r="Q21" s="20">
        <v>-73916.2</v>
      </c>
      <c r="R21" s="20">
        <v>-116610</v>
      </c>
      <c r="S21" s="20">
        <v>-37991.769999999997</v>
      </c>
      <c r="T21" s="20">
        <v>-83576.28</v>
      </c>
      <c r="U21" s="20">
        <v>-124523.26</v>
      </c>
      <c r="V21" s="20">
        <v>-38756.230000000003</v>
      </c>
      <c r="W21" s="20">
        <v>-78300.86</v>
      </c>
      <c r="X21" s="20">
        <v>-115484.59</v>
      </c>
      <c r="Y21" s="20">
        <v>-40042.550000000003</v>
      </c>
      <c r="Z21" s="20">
        <v>-84787.08</v>
      </c>
      <c r="AA21" s="20">
        <v>-122386.33</v>
      </c>
      <c r="AB21" s="20">
        <v>-47362.59</v>
      </c>
      <c r="AC21" s="20">
        <v>-83699.289999999994</v>
      </c>
      <c r="AD21" s="20">
        <v>-127255.02</v>
      </c>
      <c r="AE21" s="20">
        <v>-42305.08</v>
      </c>
      <c r="AF21" s="20">
        <v>-89097.74</v>
      </c>
      <c r="AG21" s="20">
        <v>-136191.76999999999</v>
      </c>
      <c r="AH21" s="20">
        <v>-42882.76</v>
      </c>
      <c r="AI21" s="20">
        <v>-82459.67</v>
      </c>
      <c r="AJ21" s="20">
        <v>-123931.81</v>
      </c>
    </row>
    <row r="22" spans="1:36" x14ac:dyDescent="0.2">
      <c r="A22" t="s">
        <v>546</v>
      </c>
      <c r="B22" t="s">
        <v>275</v>
      </c>
      <c r="C22" s="20">
        <v>-565915.51</v>
      </c>
      <c r="D22" s="20">
        <v>-516148.12</v>
      </c>
      <c r="E22" s="20">
        <v>-478873.17</v>
      </c>
      <c r="F22" s="20">
        <v>-458386.16</v>
      </c>
      <c r="G22" s="20">
        <v>-513950.43</v>
      </c>
      <c r="H22" s="20">
        <v>-512659.28</v>
      </c>
      <c r="I22" s="20">
        <v>-477574.63</v>
      </c>
      <c r="J22" s="20">
        <v>-457022.26</v>
      </c>
      <c r="K22" s="20">
        <v>-498317.45</v>
      </c>
      <c r="L22" s="20">
        <v>-510616.25</v>
      </c>
      <c r="M22" s="20">
        <v>-537993.04</v>
      </c>
      <c r="N22" s="20">
        <v>-582442.85</v>
      </c>
      <c r="O22" s="20">
        <v>-516721.98</v>
      </c>
      <c r="P22" s="20">
        <v>-586115.31999999995</v>
      </c>
      <c r="Q22" s="20">
        <v>-548838.87</v>
      </c>
      <c r="R22" s="20">
        <v>-532163.36</v>
      </c>
      <c r="S22" s="20">
        <v>-556597.78</v>
      </c>
      <c r="T22" s="20">
        <v>-559822.4</v>
      </c>
      <c r="U22" s="20">
        <v>-491518.71</v>
      </c>
      <c r="V22" s="20">
        <v>-460420.94</v>
      </c>
      <c r="W22" s="20">
        <v>-472343.56</v>
      </c>
      <c r="X22" s="20">
        <v>-527415.91</v>
      </c>
      <c r="Y22" s="20">
        <v>-551787.6</v>
      </c>
      <c r="Z22" s="20">
        <v>-611320.56000000006</v>
      </c>
      <c r="AA22" s="20">
        <v>-606955.97</v>
      </c>
      <c r="AB22" s="20">
        <v>-653853.17000000004</v>
      </c>
      <c r="AC22" s="20">
        <v>-618507.16</v>
      </c>
      <c r="AD22" s="20">
        <v>-637863.02</v>
      </c>
      <c r="AE22" s="20">
        <v>-622079.72</v>
      </c>
      <c r="AF22" s="20">
        <v>-598883.98</v>
      </c>
      <c r="AG22" s="20">
        <v>-507056.69</v>
      </c>
      <c r="AH22" s="20">
        <v>-497605.74</v>
      </c>
      <c r="AI22" s="20">
        <v>-489574.5</v>
      </c>
      <c r="AJ22" s="20">
        <v>-495984.1</v>
      </c>
    </row>
    <row r="23" spans="1:36" x14ac:dyDescent="0.2">
      <c r="A23" t="s">
        <v>547</v>
      </c>
      <c r="B23" t="s">
        <v>548</v>
      </c>
      <c r="C23" s="20">
        <v>0</v>
      </c>
      <c r="D23" s="20">
        <v>-597</v>
      </c>
      <c r="E23" s="20">
        <v>-597</v>
      </c>
      <c r="F23" s="20">
        <v>-199</v>
      </c>
      <c r="G23" s="20">
        <v>-199</v>
      </c>
      <c r="H23" s="20">
        <v>-995</v>
      </c>
      <c r="I23" s="20">
        <v>-199</v>
      </c>
      <c r="J23" s="20">
        <v>-597</v>
      </c>
      <c r="K23" s="20">
        <v>-1194</v>
      </c>
      <c r="L23" s="20">
        <v>-1194</v>
      </c>
      <c r="M23" s="20">
        <v>-597</v>
      </c>
      <c r="N23" s="20">
        <v>-398</v>
      </c>
      <c r="O23" s="20">
        <v>-1194</v>
      </c>
      <c r="P23" s="20">
        <v>-1393</v>
      </c>
      <c r="Q23" s="20">
        <v>-796</v>
      </c>
      <c r="R23" s="20">
        <v>-1194</v>
      </c>
      <c r="S23" s="20">
        <v>-796</v>
      </c>
      <c r="T23" s="20">
        <v>-796</v>
      </c>
      <c r="U23" s="20">
        <v>-597</v>
      </c>
      <c r="V23" s="20">
        <v>-597</v>
      </c>
      <c r="W23" s="20">
        <v>-796</v>
      </c>
      <c r="X23" s="20">
        <v>-1393</v>
      </c>
      <c r="Y23" s="20">
        <v>-597</v>
      </c>
      <c r="Z23" s="20">
        <v>-597</v>
      </c>
      <c r="AA23" s="20">
        <v>-1393</v>
      </c>
      <c r="AB23" s="20">
        <v>-1592</v>
      </c>
      <c r="AC23" s="20">
        <v>-995</v>
      </c>
      <c r="AD23" s="20">
        <v>-995</v>
      </c>
      <c r="AE23" s="20">
        <v>-796</v>
      </c>
      <c r="AF23" s="20">
        <v>-199</v>
      </c>
      <c r="AG23" s="20">
        <v>-1393</v>
      </c>
      <c r="AH23" s="20">
        <v>-995</v>
      </c>
      <c r="AI23" s="20">
        <v>-796</v>
      </c>
      <c r="AJ23" s="20">
        <v>-995</v>
      </c>
    </row>
    <row r="24" spans="1:36" x14ac:dyDescent="0.2">
      <c r="A24" t="s">
        <v>549</v>
      </c>
      <c r="B24" t="s">
        <v>550</v>
      </c>
      <c r="C24" s="20">
        <v>0</v>
      </c>
      <c r="D24" s="20">
        <v>-8195.85</v>
      </c>
      <c r="E24" s="20">
        <v>-7669.71</v>
      </c>
      <c r="F24" s="20">
        <v>-5128.9399999999996</v>
      </c>
      <c r="G24" s="20">
        <v>-3437.34</v>
      </c>
      <c r="H24" s="20">
        <v>-5073.3</v>
      </c>
      <c r="I24" s="20">
        <v>-5596.48</v>
      </c>
      <c r="J24" s="20">
        <v>-4687.09</v>
      </c>
      <c r="K24" s="20">
        <v>-4981.04</v>
      </c>
      <c r="L24" s="20">
        <v>-4557.0600000000004</v>
      </c>
      <c r="M24" s="20">
        <v>-5316.57</v>
      </c>
      <c r="N24" s="20">
        <v>-6365.97</v>
      </c>
      <c r="O24" s="20">
        <v>-4992.49</v>
      </c>
      <c r="P24" s="20">
        <v>-5078.97</v>
      </c>
      <c r="Q24" s="20">
        <v>-6752.67</v>
      </c>
      <c r="R24" s="20">
        <v>-6602.67</v>
      </c>
      <c r="S24" s="20">
        <v>-7330.01</v>
      </c>
      <c r="T24" s="20">
        <v>-7860.79</v>
      </c>
      <c r="U24" s="20">
        <v>-5166.07</v>
      </c>
      <c r="V24" s="20">
        <v>-9356.49</v>
      </c>
      <c r="W24" s="20">
        <v>-5301.05</v>
      </c>
      <c r="X24" s="20">
        <v>-4680.99</v>
      </c>
      <c r="Y24" s="20">
        <v>-7421.56</v>
      </c>
      <c r="Z24" s="20">
        <v>-7429.79</v>
      </c>
      <c r="AA24" s="20">
        <v>-6136.67</v>
      </c>
      <c r="AB24" s="20">
        <v>-6276.33</v>
      </c>
      <c r="AC24" s="20">
        <v>-3633.61</v>
      </c>
      <c r="AD24" s="20">
        <v>-6031.35</v>
      </c>
      <c r="AE24" s="20">
        <v>-6391.39</v>
      </c>
      <c r="AF24" s="20">
        <v>-8013.12</v>
      </c>
      <c r="AG24" s="20">
        <v>-7736.8</v>
      </c>
      <c r="AH24" s="20">
        <v>-5362.91</v>
      </c>
      <c r="AI24" s="20">
        <v>-6347.83</v>
      </c>
      <c r="AJ24" s="20">
        <v>-6390.26</v>
      </c>
    </row>
    <row r="25" spans="1:36" x14ac:dyDescent="0.2">
      <c r="A25" t="s">
        <v>551</v>
      </c>
      <c r="B25" t="s">
        <v>552</v>
      </c>
      <c r="C25" s="20">
        <v>-38000</v>
      </c>
      <c r="D25" s="20">
        <v>-47149.8</v>
      </c>
      <c r="E25" s="20">
        <v>-48351.05</v>
      </c>
      <c r="F25" s="20">
        <v>-14695.04</v>
      </c>
      <c r="G25" s="20">
        <v>-15490.64</v>
      </c>
      <c r="H25" s="20">
        <v>-20125.38</v>
      </c>
      <c r="I25" s="20">
        <v>-27091.919999999998</v>
      </c>
      <c r="J25" s="20">
        <v>-35403.49</v>
      </c>
      <c r="K25" s="20">
        <v>-39453.06</v>
      </c>
      <c r="L25" s="20">
        <v>-42849.87</v>
      </c>
      <c r="M25" s="20">
        <v>-43005.54</v>
      </c>
      <c r="N25" s="20">
        <v>-52452.38</v>
      </c>
      <c r="O25" s="20">
        <v>-56820.63</v>
      </c>
      <c r="P25" s="20">
        <v>-60911.19</v>
      </c>
      <c r="Q25" s="20">
        <v>-62049.7</v>
      </c>
      <c r="R25" s="20">
        <v>-14855.57</v>
      </c>
      <c r="S25" s="20">
        <v>-18530.62</v>
      </c>
      <c r="T25" s="20">
        <v>-28995.01</v>
      </c>
      <c r="U25" s="20">
        <v>-37520.42</v>
      </c>
      <c r="V25" s="20">
        <v>-45472.84</v>
      </c>
      <c r="W25" s="20">
        <v>-53727.6</v>
      </c>
      <c r="X25" s="20">
        <v>-58119.05</v>
      </c>
      <c r="Y25" s="20">
        <v>-69879.289999999994</v>
      </c>
      <c r="Z25" s="20">
        <v>-93046.58</v>
      </c>
      <c r="AA25" s="20">
        <v>-96948.73</v>
      </c>
      <c r="AB25" s="20">
        <v>-104982.39999999999</v>
      </c>
      <c r="AC25" s="20">
        <v>-106509.29</v>
      </c>
      <c r="AD25" s="20">
        <v>-19063.47</v>
      </c>
      <c r="AE25" s="20">
        <v>-25529.68</v>
      </c>
      <c r="AF25" s="20">
        <v>-37737.440000000002</v>
      </c>
      <c r="AG25" s="20">
        <v>-50501.47</v>
      </c>
      <c r="AH25" s="20">
        <v>-65915.53</v>
      </c>
      <c r="AI25" s="20">
        <v>-79116.820000000007</v>
      </c>
      <c r="AJ25" s="20">
        <v>-92289.97</v>
      </c>
    </row>
    <row r="26" spans="1:36" x14ac:dyDescent="0.2">
      <c r="A26" t="s">
        <v>553</v>
      </c>
      <c r="B26" t="s">
        <v>554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</row>
    <row r="27" spans="1:36" x14ac:dyDescent="0.2">
      <c r="A27" t="s">
        <v>555</v>
      </c>
      <c r="B27" t="s">
        <v>556</v>
      </c>
      <c r="C27" s="20">
        <v>-500000</v>
      </c>
      <c r="D27" s="20">
        <v>-489583.33</v>
      </c>
      <c r="E27" s="20">
        <v>-479166.66</v>
      </c>
      <c r="F27" s="20">
        <v>-468749.99</v>
      </c>
      <c r="G27" s="20">
        <v>-458333.32</v>
      </c>
      <c r="H27" s="20">
        <v>-447916.65</v>
      </c>
      <c r="I27" s="20">
        <v>-437499.98</v>
      </c>
      <c r="J27" s="20">
        <v>-427083.31</v>
      </c>
      <c r="K27" s="20">
        <v>-416666.64</v>
      </c>
      <c r="L27" s="20">
        <v>-406249.97</v>
      </c>
      <c r="M27" s="20">
        <v>-395833.3</v>
      </c>
      <c r="N27" s="20">
        <v>-385416.63</v>
      </c>
      <c r="O27" s="20">
        <v>-374999.96</v>
      </c>
      <c r="P27" s="20">
        <v>-364583.29</v>
      </c>
      <c r="Q27" s="20">
        <v>-354166.62</v>
      </c>
      <c r="R27" s="20">
        <v>-343749.95</v>
      </c>
      <c r="S27" s="20">
        <v>-333333.28000000003</v>
      </c>
      <c r="T27" s="20">
        <v>-322916.61</v>
      </c>
      <c r="U27" s="20">
        <v>-312499.94</v>
      </c>
      <c r="V27" s="20">
        <v>-302083.27</v>
      </c>
      <c r="W27" s="20">
        <v>-291666.59999999998</v>
      </c>
      <c r="X27" s="20">
        <v>-281249.93</v>
      </c>
      <c r="Y27" s="20">
        <v>-270833.26</v>
      </c>
      <c r="Z27" s="20">
        <v>-260416.59</v>
      </c>
      <c r="AA27" s="20">
        <v>-249999.92</v>
      </c>
      <c r="AB27" s="20">
        <v>-239583.25</v>
      </c>
      <c r="AC27" s="20">
        <v>-229166.58</v>
      </c>
      <c r="AD27" s="20">
        <v>-218749.91</v>
      </c>
      <c r="AE27" s="20">
        <v>-208333.24</v>
      </c>
      <c r="AF27" s="20">
        <v>-197916.57</v>
      </c>
      <c r="AG27" s="20">
        <v>-187499.9</v>
      </c>
      <c r="AH27" s="20">
        <v>-177083.23</v>
      </c>
      <c r="AI27" s="20">
        <v>-166666.56</v>
      </c>
      <c r="AJ27" s="20">
        <v>-156249.89000000001</v>
      </c>
    </row>
    <row r="28" spans="1:36" x14ac:dyDescent="0.2">
      <c r="A28" t="s">
        <v>557</v>
      </c>
      <c r="B28" t="s">
        <v>293</v>
      </c>
      <c r="C28" s="20">
        <v>-250000</v>
      </c>
      <c r="D28" s="20">
        <v>-250000</v>
      </c>
      <c r="E28" s="20">
        <v>-250000</v>
      </c>
      <c r="F28" s="20">
        <v>-250000</v>
      </c>
      <c r="G28" s="20">
        <v>-250000</v>
      </c>
      <c r="H28" s="20">
        <v>-250000</v>
      </c>
      <c r="I28" s="20">
        <v>-250000</v>
      </c>
      <c r="J28" s="20">
        <v>-250000</v>
      </c>
      <c r="K28" s="20">
        <v>-250000</v>
      </c>
      <c r="L28" s="20">
        <v>-250000</v>
      </c>
      <c r="M28" s="20">
        <v>-250000</v>
      </c>
      <c r="N28" s="20">
        <v>-250000</v>
      </c>
      <c r="O28" s="20">
        <v>-250000</v>
      </c>
      <c r="P28" s="20">
        <v>-250000</v>
      </c>
      <c r="Q28" s="20">
        <v>-250000</v>
      </c>
      <c r="R28" s="20">
        <v>-250000</v>
      </c>
      <c r="S28" s="20">
        <v>-250000</v>
      </c>
      <c r="T28" s="20">
        <v>-250000</v>
      </c>
      <c r="U28" s="20">
        <v>-250000</v>
      </c>
      <c r="V28" s="20">
        <v>-250000</v>
      </c>
      <c r="W28" s="20">
        <v>-250000</v>
      </c>
      <c r="X28" s="20">
        <v>-250000</v>
      </c>
      <c r="Y28" s="20">
        <v>-250000</v>
      </c>
      <c r="Z28" s="20">
        <v>-250000</v>
      </c>
      <c r="AA28" s="20">
        <v>-250000</v>
      </c>
      <c r="AB28" s="20">
        <v>-250000</v>
      </c>
      <c r="AC28" s="20">
        <v>-250000</v>
      </c>
      <c r="AD28" s="20">
        <v>-250000</v>
      </c>
      <c r="AE28" s="20">
        <v>-250000</v>
      </c>
      <c r="AF28" s="20">
        <v>-250000</v>
      </c>
      <c r="AG28" s="20">
        <v>-250000</v>
      </c>
      <c r="AH28" s="20">
        <v>-250000</v>
      </c>
      <c r="AI28" s="20">
        <v>-250000</v>
      </c>
      <c r="AJ28" s="20">
        <v>-250000</v>
      </c>
    </row>
    <row r="29" spans="1:36" x14ac:dyDescent="0.2">
      <c r="A29" t="s">
        <v>558</v>
      </c>
      <c r="B29" t="s">
        <v>295</v>
      </c>
      <c r="C29" s="20">
        <v>-138578.32999999999</v>
      </c>
      <c r="D29" s="20">
        <v>-138578.32999999999</v>
      </c>
      <c r="E29" s="20">
        <v>-138578.32999999999</v>
      </c>
      <c r="F29" s="20">
        <v>-138578.32999999999</v>
      </c>
      <c r="G29" s="20">
        <v>-138578.32999999999</v>
      </c>
      <c r="H29" s="20">
        <v>-138578.32999999999</v>
      </c>
      <c r="I29" s="20">
        <v>-138578.32999999999</v>
      </c>
      <c r="J29" s="20">
        <v>-138578.32999999999</v>
      </c>
      <c r="K29" s="20">
        <v>-138578.32999999999</v>
      </c>
      <c r="L29" s="20">
        <v>-138578.32999999999</v>
      </c>
      <c r="M29" s="20">
        <v>-138578.32999999999</v>
      </c>
      <c r="N29" s="20">
        <v>-138578.32999999999</v>
      </c>
      <c r="O29" s="20">
        <v>-364673.5</v>
      </c>
      <c r="P29" s="20">
        <v>-364673.5</v>
      </c>
      <c r="Q29" s="20">
        <v>-364673.5</v>
      </c>
      <c r="R29" s="20">
        <v>-364673.5</v>
      </c>
      <c r="S29" s="20">
        <v>-364673.5</v>
      </c>
      <c r="T29" s="20">
        <v>-364673.5</v>
      </c>
      <c r="U29" s="20">
        <v>-364673.5</v>
      </c>
      <c r="V29" s="20">
        <v>-364673.5</v>
      </c>
      <c r="W29" s="20">
        <v>-364673.5</v>
      </c>
      <c r="X29" s="20">
        <v>-364673.5</v>
      </c>
      <c r="Y29" s="20">
        <v>-364673.5</v>
      </c>
      <c r="Z29" s="20">
        <v>-364673.5</v>
      </c>
      <c r="AA29" s="20">
        <v>-658110.56000000006</v>
      </c>
      <c r="AB29" s="20">
        <v>-658110.56000000006</v>
      </c>
      <c r="AC29" s="20">
        <v>-658110.56000000006</v>
      </c>
      <c r="AD29" s="20">
        <v>-658110.56000000006</v>
      </c>
      <c r="AE29" s="20">
        <v>-658110.56000000006</v>
      </c>
      <c r="AF29" s="20">
        <v>-658110.56000000006</v>
      </c>
      <c r="AG29" s="20">
        <v>-658110.56000000006</v>
      </c>
      <c r="AH29" s="20">
        <v>-658110.56000000006</v>
      </c>
      <c r="AI29" s="20">
        <v>-658110.56000000006</v>
      </c>
      <c r="AJ29" s="20">
        <v>-658110.56000000006</v>
      </c>
    </row>
    <row r="30" spans="1:36" x14ac:dyDescent="0.2">
      <c r="A30" t="s">
        <v>559</v>
      </c>
      <c r="B30" t="s">
        <v>560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</row>
    <row r="31" spans="1:36" x14ac:dyDescent="0.2">
      <c r="A31" t="s">
        <v>561</v>
      </c>
      <c r="B31" t="s">
        <v>562</v>
      </c>
      <c r="C31" s="20">
        <v>0</v>
      </c>
      <c r="D31" s="20">
        <v>-309788.86</v>
      </c>
      <c r="E31" s="20">
        <v>-531624.87</v>
      </c>
      <c r="F31" s="20">
        <v>-742802.45</v>
      </c>
      <c r="G31" s="20">
        <v>-922796.32</v>
      </c>
      <c r="H31" s="20">
        <v>-1143993.93</v>
      </c>
      <c r="I31" s="20">
        <v>-1405820.12</v>
      </c>
      <c r="J31" s="20">
        <v>-1656074.53</v>
      </c>
      <c r="K31" s="20">
        <v>-1890330.46</v>
      </c>
      <c r="L31" s="20">
        <v>-2115116.6800000002</v>
      </c>
      <c r="M31" s="20">
        <v>-2347784.91</v>
      </c>
      <c r="N31" s="20">
        <v>-2626668.2400000002</v>
      </c>
      <c r="O31" s="20">
        <v>0</v>
      </c>
      <c r="P31" s="20">
        <v>-311517.01</v>
      </c>
      <c r="Q31" s="20">
        <v>-541640.17000000004</v>
      </c>
      <c r="R31" s="20">
        <v>-862180.93</v>
      </c>
      <c r="S31" s="20">
        <v>-1081518.93</v>
      </c>
      <c r="T31" s="20">
        <v>-1365235.99</v>
      </c>
      <c r="U31" s="20">
        <v>-1621178.5</v>
      </c>
      <c r="V31" s="20">
        <v>-1858509.96</v>
      </c>
      <c r="W31" s="20">
        <v>-2091934.97</v>
      </c>
      <c r="X31" s="20">
        <v>-2331084.86</v>
      </c>
      <c r="Y31" s="20">
        <v>-2582328.11</v>
      </c>
      <c r="Z31" s="20">
        <v>-2833839.38</v>
      </c>
      <c r="AA31" s="20">
        <v>0</v>
      </c>
      <c r="AB31" s="20">
        <v>-382635.13</v>
      </c>
      <c r="AC31" s="20">
        <v>-621029.73</v>
      </c>
      <c r="AD31" s="20">
        <v>-927627.82</v>
      </c>
      <c r="AE31" s="20">
        <v>-1209737.76</v>
      </c>
      <c r="AF31" s="20">
        <v>-1552534.59</v>
      </c>
      <c r="AG31" s="20">
        <v>-1902278.86</v>
      </c>
      <c r="AH31" s="20">
        <v>-2170801.91</v>
      </c>
      <c r="AI31" s="20">
        <v>-2439144.33</v>
      </c>
      <c r="AJ31" s="20">
        <v>-2743516.9</v>
      </c>
    </row>
    <row r="32" spans="1:36" x14ac:dyDescent="0.2">
      <c r="A32" t="s">
        <v>563</v>
      </c>
      <c r="B32" t="s">
        <v>564</v>
      </c>
      <c r="C32" s="20">
        <v>0</v>
      </c>
      <c r="D32" s="20">
        <v>-202461.72</v>
      </c>
      <c r="E32" s="20">
        <v>-327186</v>
      </c>
      <c r="F32" s="20">
        <v>-491214.43</v>
      </c>
      <c r="G32" s="20">
        <v>-621946.43999999994</v>
      </c>
      <c r="H32" s="20">
        <v>-785091.27</v>
      </c>
      <c r="I32" s="20">
        <v>-874713.92</v>
      </c>
      <c r="J32" s="20">
        <v>-1037532.91</v>
      </c>
      <c r="K32" s="20">
        <v>-1183975.02</v>
      </c>
      <c r="L32" s="20">
        <v>-1343996.92</v>
      </c>
      <c r="M32" s="20">
        <v>-1449096.38</v>
      </c>
      <c r="N32" s="20">
        <v>-1629487.07</v>
      </c>
      <c r="O32" s="20">
        <v>0</v>
      </c>
      <c r="P32" s="20">
        <v>-166279.98000000001</v>
      </c>
      <c r="Q32" s="20">
        <v>-286983.8</v>
      </c>
      <c r="R32" s="20">
        <v>-460416.37</v>
      </c>
      <c r="S32" s="20">
        <v>-614198.13</v>
      </c>
      <c r="T32" s="20">
        <v>-773991.18</v>
      </c>
      <c r="U32" s="20">
        <v>-920399.51</v>
      </c>
      <c r="V32" s="20">
        <v>-1068860.93</v>
      </c>
      <c r="W32" s="20">
        <v>-1210627.55</v>
      </c>
      <c r="X32" s="20">
        <v>-1326360.29</v>
      </c>
      <c r="Y32" s="20">
        <v>-1471867.57</v>
      </c>
      <c r="Z32" s="20">
        <v>-1639310.96</v>
      </c>
      <c r="AA32" s="20">
        <v>0</v>
      </c>
      <c r="AB32" s="20">
        <v>-160300.13</v>
      </c>
      <c r="AC32" s="20">
        <v>-301725.61</v>
      </c>
      <c r="AD32" s="20">
        <v>-469437.59</v>
      </c>
      <c r="AE32" s="20">
        <v>-642685.34</v>
      </c>
      <c r="AF32" s="20">
        <v>-800565.12</v>
      </c>
      <c r="AG32" s="20">
        <v>-982746.48</v>
      </c>
      <c r="AH32" s="20">
        <v>-1177698.17</v>
      </c>
      <c r="AI32" s="20">
        <v>-1309560.51</v>
      </c>
      <c r="AJ32" s="20">
        <v>-1444195.65</v>
      </c>
    </row>
    <row r="33" spans="1:36" x14ac:dyDescent="0.2">
      <c r="A33" t="s">
        <v>565</v>
      </c>
      <c r="B33" t="s">
        <v>566</v>
      </c>
      <c r="C33" s="20">
        <v>0</v>
      </c>
      <c r="D33" s="20">
        <v>-102730.95</v>
      </c>
      <c r="E33" s="20">
        <v>-143227.88</v>
      </c>
      <c r="F33" s="20">
        <v>-211680.78</v>
      </c>
      <c r="G33" s="20">
        <v>-274400.71999999997</v>
      </c>
      <c r="H33" s="20">
        <v>-348234.69</v>
      </c>
      <c r="I33" s="20">
        <v>-397564.68</v>
      </c>
      <c r="J33" s="20">
        <v>-479903.58</v>
      </c>
      <c r="K33" s="20">
        <v>-551788.55000000005</v>
      </c>
      <c r="L33" s="20">
        <v>-604777.5</v>
      </c>
      <c r="M33" s="20">
        <v>-672601.45</v>
      </c>
      <c r="N33" s="20">
        <v>-759628.38</v>
      </c>
      <c r="O33" s="20">
        <v>0</v>
      </c>
      <c r="P33" s="20">
        <v>-64050.91</v>
      </c>
      <c r="Q33" s="20">
        <v>-123559.8</v>
      </c>
      <c r="R33" s="20">
        <v>-216455.75</v>
      </c>
      <c r="S33" s="20">
        <v>-286442.71999999997</v>
      </c>
      <c r="T33" s="20">
        <v>-385890.69</v>
      </c>
      <c r="U33" s="20">
        <v>-471830.64</v>
      </c>
      <c r="V33" s="20">
        <v>-555271.6</v>
      </c>
      <c r="W33" s="20">
        <v>-614259.56000000006</v>
      </c>
      <c r="X33" s="20">
        <v>-677070.45</v>
      </c>
      <c r="Y33" s="20">
        <v>-748958.36</v>
      </c>
      <c r="Z33" s="20">
        <v>-855792.25</v>
      </c>
      <c r="AA33" s="20">
        <v>0</v>
      </c>
      <c r="AB33" s="20">
        <v>-66318.929999999993</v>
      </c>
      <c r="AC33" s="20">
        <v>-154066.89000000001</v>
      </c>
      <c r="AD33" s="20">
        <v>-237381.82</v>
      </c>
      <c r="AE33" s="20">
        <v>-323252.71999999997</v>
      </c>
      <c r="AF33" s="20">
        <v>-412266.6</v>
      </c>
      <c r="AG33" s="20">
        <v>-507479.55</v>
      </c>
      <c r="AH33" s="20">
        <v>-592325.49</v>
      </c>
      <c r="AI33" s="20">
        <v>-654226.47</v>
      </c>
      <c r="AJ33" s="20">
        <v>-705955.38</v>
      </c>
    </row>
    <row r="34" spans="1:36" x14ac:dyDescent="0.2">
      <c r="A34" t="s">
        <v>567</v>
      </c>
      <c r="B34" t="s">
        <v>568</v>
      </c>
      <c r="C34" s="20">
        <v>0</v>
      </c>
      <c r="D34" s="20">
        <v>-188416</v>
      </c>
      <c r="E34" s="20">
        <v>-360879</v>
      </c>
      <c r="F34" s="20">
        <v>-492584</v>
      </c>
      <c r="G34" s="20">
        <v>-661134</v>
      </c>
      <c r="H34" s="20">
        <v>-826136</v>
      </c>
      <c r="I34" s="20">
        <v>-1035781</v>
      </c>
      <c r="J34" s="20">
        <v>-1211266</v>
      </c>
      <c r="K34" s="20">
        <v>-1357495</v>
      </c>
      <c r="L34" s="20">
        <v>-1572608</v>
      </c>
      <c r="M34" s="20">
        <v>-1729655</v>
      </c>
      <c r="N34" s="20">
        <v>-1922017</v>
      </c>
      <c r="O34" s="20">
        <v>0</v>
      </c>
      <c r="P34" s="20">
        <v>-174917</v>
      </c>
      <c r="Q34" s="20">
        <v>-355729</v>
      </c>
      <c r="R34" s="20">
        <v>-519170</v>
      </c>
      <c r="S34" s="20">
        <v>-724817</v>
      </c>
      <c r="T34" s="20">
        <v>-940540</v>
      </c>
      <c r="U34" s="20">
        <v>-1168678</v>
      </c>
      <c r="V34" s="20">
        <v>-1351457</v>
      </c>
      <c r="W34" s="20">
        <v>-1583565</v>
      </c>
      <c r="X34" s="20">
        <v>-1790759</v>
      </c>
      <c r="Y34" s="20">
        <v>-2019625</v>
      </c>
      <c r="Z34" s="20">
        <v>-2247042</v>
      </c>
      <c r="AA34" s="20">
        <v>0</v>
      </c>
      <c r="AB34" s="20">
        <v>-217500</v>
      </c>
      <c r="AC34" s="20">
        <v>-357612</v>
      </c>
      <c r="AD34" s="20">
        <v>-565726</v>
      </c>
      <c r="AE34" s="20">
        <v>-760142</v>
      </c>
      <c r="AF34" s="20">
        <v>-948317</v>
      </c>
      <c r="AG34" s="20">
        <v>-1137448</v>
      </c>
      <c r="AH34" s="20">
        <v>-1348757</v>
      </c>
      <c r="AI34" s="20">
        <v>-1562273</v>
      </c>
      <c r="AJ34" s="20">
        <v>-1772022</v>
      </c>
    </row>
    <row r="35" spans="1:36" x14ac:dyDescent="0.2">
      <c r="A35" t="s">
        <v>569</v>
      </c>
      <c r="B35" t="s">
        <v>570</v>
      </c>
      <c r="C35" s="20">
        <v>0</v>
      </c>
      <c r="D35" s="20">
        <v>-105983.94</v>
      </c>
      <c r="E35" s="20">
        <v>-189364.79</v>
      </c>
      <c r="F35" s="20">
        <v>-284018.78999999998</v>
      </c>
      <c r="G35" s="20">
        <v>-358537.79</v>
      </c>
      <c r="H35" s="20">
        <v>-456667.79</v>
      </c>
      <c r="I35" s="20">
        <v>-549103.71</v>
      </c>
      <c r="J35" s="20">
        <v>-648836.5</v>
      </c>
      <c r="K35" s="20">
        <v>-740019.16</v>
      </c>
      <c r="L35" s="20">
        <v>-831402.87</v>
      </c>
      <c r="M35" s="20">
        <v>-927031.66</v>
      </c>
      <c r="N35" s="20">
        <v>-1038579.66</v>
      </c>
      <c r="O35" s="20">
        <v>0</v>
      </c>
      <c r="P35" s="20">
        <v>-99269.8</v>
      </c>
      <c r="Q35" s="20">
        <v>-187598.65</v>
      </c>
      <c r="R35" s="20">
        <v>-295456.81</v>
      </c>
      <c r="S35" s="20">
        <v>-387316.79</v>
      </c>
      <c r="T35" s="20">
        <v>-536014.24</v>
      </c>
      <c r="U35" s="20">
        <v>-632021.96</v>
      </c>
      <c r="V35" s="20">
        <v>-742577.81</v>
      </c>
      <c r="W35" s="20">
        <v>-842313.73</v>
      </c>
      <c r="X35" s="20">
        <v>-952264.84</v>
      </c>
      <c r="Y35" s="20">
        <v>-1044357.33</v>
      </c>
      <c r="Z35" s="20">
        <v>-1170739.25</v>
      </c>
      <c r="AA35" s="20">
        <v>0</v>
      </c>
      <c r="AB35" s="20">
        <v>-131928.94</v>
      </c>
      <c r="AC35" s="20">
        <v>-240814.58</v>
      </c>
      <c r="AD35" s="20">
        <v>-345084.28</v>
      </c>
      <c r="AE35" s="20">
        <v>-447954.4</v>
      </c>
      <c r="AF35" s="20">
        <v>-589008.71</v>
      </c>
      <c r="AG35" s="20">
        <v>-707109.5</v>
      </c>
      <c r="AH35" s="20">
        <v>-801146.54</v>
      </c>
      <c r="AI35" s="20">
        <v>-902894.5</v>
      </c>
      <c r="AJ35" s="20">
        <v>-1030786.5</v>
      </c>
    </row>
    <row r="36" spans="1:36" x14ac:dyDescent="0.2">
      <c r="A36" t="s">
        <v>571</v>
      </c>
      <c r="B36" t="s">
        <v>572</v>
      </c>
      <c r="C36" s="20">
        <v>0</v>
      </c>
      <c r="D36" s="20">
        <v>-6847</v>
      </c>
      <c r="E36" s="20">
        <v>-13127</v>
      </c>
      <c r="F36" s="20">
        <v>-18224.43</v>
      </c>
      <c r="G36" s="20">
        <v>-25906.86</v>
      </c>
      <c r="H36" s="20">
        <v>-34110.86</v>
      </c>
      <c r="I36" s="20">
        <v>-43392.86</v>
      </c>
      <c r="J36" s="20">
        <v>-43392.86</v>
      </c>
      <c r="K36" s="20">
        <v>-50284.86</v>
      </c>
      <c r="L36" s="20">
        <v>-54500.86</v>
      </c>
      <c r="M36" s="20">
        <v>-58194.86</v>
      </c>
      <c r="N36" s="20">
        <v>-61031.86</v>
      </c>
      <c r="O36" s="20">
        <v>0</v>
      </c>
      <c r="P36" s="20">
        <v>-9997</v>
      </c>
      <c r="Q36" s="20">
        <v>-12742</v>
      </c>
      <c r="R36" s="20">
        <v>-14720</v>
      </c>
      <c r="S36" s="20">
        <v>-20155</v>
      </c>
      <c r="T36" s="20">
        <v>-27459</v>
      </c>
      <c r="U36" s="20">
        <v>-37532</v>
      </c>
      <c r="V36" s="20">
        <v>-46746</v>
      </c>
      <c r="W36" s="20">
        <v>-54571</v>
      </c>
      <c r="X36" s="20">
        <v>-59577</v>
      </c>
      <c r="Y36" s="20">
        <v>-68352</v>
      </c>
      <c r="Z36" s="20">
        <v>-81208</v>
      </c>
      <c r="AA36" s="20">
        <v>0</v>
      </c>
      <c r="AB36" s="20">
        <v>-7175</v>
      </c>
      <c r="AC36" s="20">
        <v>-14831</v>
      </c>
      <c r="AD36" s="20">
        <v>-18628</v>
      </c>
      <c r="AE36" s="20">
        <v>-22086</v>
      </c>
      <c r="AF36" s="20">
        <v>-33327</v>
      </c>
      <c r="AG36" s="20">
        <v>-36954</v>
      </c>
      <c r="AH36" s="20">
        <v>-43710</v>
      </c>
      <c r="AI36" s="20">
        <v>-50886</v>
      </c>
      <c r="AJ36" s="20">
        <v>-55462</v>
      </c>
    </row>
    <row r="37" spans="1:36" x14ac:dyDescent="0.2">
      <c r="A37" t="s">
        <v>573</v>
      </c>
      <c r="B37" t="s">
        <v>574</v>
      </c>
      <c r="C37" s="20">
        <v>0</v>
      </c>
      <c r="D37" s="20">
        <v>-61715.88</v>
      </c>
      <c r="E37" s="20">
        <v>-99057.73</v>
      </c>
      <c r="F37" s="20">
        <v>-140116.68</v>
      </c>
      <c r="G37" s="20">
        <v>-181533.57</v>
      </c>
      <c r="H37" s="20">
        <v>-229691.47</v>
      </c>
      <c r="I37" s="20">
        <v>-281617.38</v>
      </c>
      <c r="J37" s="20">
        <v>-339612.28</v>
      </c>
      <c r="K37" s="20">
        <v>-384961.18</v>
      </c>
      <c r="L37" s="20">
        <v>-428451.08</v>
      </c>
      <c r="M37" s="20">
        <v>-470308.99</v>
      </c>
      <c r="N37" s="20">
        <v>-526229.89</v>
      </c>
      <c r="O37" s="20">
        <v>0</v>
      </c>
      <c r="P37" s="20">
        <v>-53799.88</v>
      </c>
      <c r="Q37" s="20">
        <v>-103160.76</v>
      </c>
      <c r="R37" s="20">
        <v>-151339.62</v>
      </c>
      <c r="S37" s="20">
        <v>-207933.51</v>
      </c>
      <c r="T37" s="20">
        <v>-262606.39</v>
      </c>
      <c r="U37" s="20">
        <v>-308472.28000000003</v>
      </c>
      <c r="V37" s="20">
        <v>-359583.16</v>
      </c>
      <c r="W37" s="20">
        <v>-410374.98</v>
      </c>
      <c r="X37" s="20">
        <v>-458250.88</v>
      </c>
      <c r="Y37" s="20">
        <v>-506274.74</v>
      </c>
      <c r="Z37" s="20">
        <v>-559851.67000000004</v>
      </c>
      <c r="AA37" s="20">
        <v>0</v>
      </c>
      <c r="AB37" s="20">
        <v>-73875.789999999994</v>
      </c>
      <c r="AC37" s="20">
        <v>-130055.63</v>
      </c>
      <c r="AD37" s="20">
        <v>-183957.57</v>
      </c>
      <c r="AE37" s="20">
        <v>-235312.47</v>
      </c>
      <c r="AF37" s="20">
        <v>-298692.32</v>
      </c>
      <c r="AG37" s="20">
        <v>-364433.16</v>
      </c>
      <c r="AH37" s="20">
        <v>-416802.04</v>
      </c>
      <c r="AI37" s="20">
        <v>-476008.98</v>
      </c>
      <c r="AJ37" s="20">
        <v>-532292.87</v>
      </c>
    </row>
    <row r="38" spans="1:36" x14ac:dyDescent="0.2">
      <c r="A38" t="s">
        <v>575</v>
      </c>
      <c r="B38" t="s">
        <v>576</v>
      </c>
      <c r="C38" s="20">
        <v>0</v>
      </c>
      <c r="D38" s="20">
        <v>-5463.93</v>
      </c>
      <c r="E38" s="20">
        <v>-10577.03</v>
      </c>
      <c r="F38" s="20">
        <v>-13996.36</v>
      </c>
      <c r="G38" s="20">
        <v>-16287.92</v>
      </c>
      <c r="H38" s="20">
        <v>-19670.14</v>
      </c>
      <c r="I38" s="20">
        <v>-23401.14</v>
      </c>
      <c r="J38" s="20">
        <v>-26525.88</v>
      </c>
      <c r="K38" s="20">
        <v>-29846.58</v>
      </c>
      <c r="L38" s="20">
        <v>-32884.61</v>
      </c>
      <c r="M38" s="20">
        <v>-36429.01</v>
      </c>
      <c r="N38" s="20">
        <v>-40673</v>
      </c>
      <c r="O38" s="20">
        <v>0</v>
      </c>
      <c r="P38" s="20">
        <v>-3386.04</v>
      </c>
      <c r="Q38" s="20">
        <v>-7887.82</v>
      </c>
      <c r="R38" s="20">
        <v>-12289.61</v>
      </c>
      <c r="S38" s="20">
        <v>-17176.259999999998</v>
      </c>
      <c r="T38" s="20">
        <v>-22416.81</v>
      </c>
      <c r="U38" s="20">
        <v>-25860.880000000001</v>
      </c>
      <c r="V38" s="20">
        <v>-32098.55</v>
      </c>
      <c r="W38" s="20">
        <v>-35632.57</v>
      </c>
      <c r="X38" s="20">
        <v>-38753.24</v>
      </c>
      <c r="Y38" s="20">
        <v>-43701</v>
      </c>
      <c r="Z38" s="20">
        <v>-48654.23</v>
      </c>
      <c r="AA38" s="20">
        <v>0</v>
      </c>
      <c r="AB38" s="20">
        <v>-4184.21</v>
      </c>
      <c r="AC38" s="20">
        <v>-6606.65</v>
      </c>
      <c r="AD38" s="20">
        <v>-10627.51</v>
      </c>
      <c r="AE38" s="20">
        <v>-14888.4</v>
      </c>
      <c r="AF38" s="20">
        <v>-20230.509999999998</v>
      </c>
      <c r="AG38" s="20">
        <v>-25388.39</v>
      </c>
      <c r="AH38" s="20">
        <v>-28963.69</v>
      </c>
      <c r="AI38" s="20">
        <v>-33195.620000000003</v>
      </c>
      <c r="AJ38" s="20">
        <v>-37455.83</v>
      </c>
    </row>
    <row r="39" spans="1:36" x14ac:dyDescent="0.2">
      <c r="A39" t="s">
        <v>577</v>
      </c>
      <c r="B39" t="s">
        <v>490</v>
      </c>
      <c r="C39" s="20">
        <v>0</v>
      </c>
      <c r="D39" s="20">
        <v>-1074.75</v>
      </c>
      <c r="E39" s="20">
        <v>-2919</v>
      </c>
      <c r="F39" s="20">
        <v>-4765.8</v>
      </c>
      <c r="G39" s="20">
        <v>-6690</v>
      </c>
      <c r="H39" s="20">
        <v>-8238.15</v>
      </c>
      <c r="I39" s="20">
        <v>-9886.0499999999993</v>
      </c>
      <c r="J39" s="20">
        <v>-10991.7</v>
      </c>
      <c r="K39" s="20">
        <v>-12343.65</v>
      </c>
      <c r="L39" s="20">
        <v>-13533.26</v>
      </c>
      <c r="M39" s="20">
        <v>-14984.06</v>
      </c>
      <c r="N39" s="20">
        <v>-18760.759999999998</v>
      </c>
      <c r="O39" s="20">
        <v>0</v>
      </c>
      <c r="P39" s="20">
        <v>-478.2</v>
      </c>
      <c r="Q39" s="20">
        <v>-728.1</v>
      </c>
      <c r="R39" s="20">
        <v>-1149</v>
      </c>
      <c r="S39" s="20">
        <v>-2499.4499999999998</v>
      </c>
      <c r="T39" s="20">
        <v>-4149.75</v>
      </c>
      <c r="U39" s="20">
        <v>-5131.5</v>
      </c>
      <c r="V39" s="20">
        <v>-6170.1</v>
      </c>
      <c r="W39" s="20">
        <v>-6319.8</v>
      </c>
      <c r="X39" s="20">
        <v>-7589.85</v>
      </c>
      <c r="Y39" s="20">
        <v>-8919</v>
      </c>
      <c r="Z39" s="20">
        <v>-10436.25</v>
      </c>
      <c r="AA39" s="20">
        <v>0</v>
      </c>
      <c r="AB39" s="20">
        <v>0</v>
      </c>
      <c r="AC39" s="20">
        <v>-232.35</v>
      </c>
      <c r="AD39" s="20">
        <v>-1524.3</v>
      </c>
      <c r="AE39" s="20">
        <v>-1929</v>
      </c>
      <c r="AF39" s="20">
        <v>-3252.86</v>
      </c>
      <c r="AG39" s="20">
        <v>-5362.91</v>
      </c>
      <c r="AH39" s="20">
        <v>-5874.56</v>
      </c>
      <c r="AI39" s="20">
        <v>-8408.51</v>
      </c>
      <c r="AJ39" s="20">
        <v>-10571.21</v>
      </c>
    </row>
    <row r="40" spans="1:36" x14ac:dyDescent="0.2">
      <c r="A40" t="s">
        <v>578</v>
      </c>
      <c r="B40" t="s">
        <v>492</v>
      </c>
      <c r="C40" s="20">
        <v>0</v>
      </c>
      <c r="D40" s="20">
        <v>-2347.59</v>
      </c>
      <c r="E40" s="20">
        <v>-6504.94</v>
      </c>
      <c r="F40" s="20">
        <v>-9015.5499999999993</v>
      </c>
      <c r="G40" s="20">
        <v>-16815.82</v>
      </c>
      <c r="H40" s="20">
        <v>-20722.240000000002</v>
      </c>
      <c r="I40" s="20">
        <v>-23911.09</v>
      </c>
      <c r="J40" s="20">
        <v>-25303.05</v>
      </c>
      <c r="K40" s="20">
        <v>-27126.29</v>
      </c>
      <c r="L40" s="20">
        <v>-27737.82</v>
      </c>
      <c r="M40" s="20">
        <v>-28474.35</v>
      </c>
      <c r="N40" s="20">
        <v>-28474.35</v>
      </c>
      <c r="O40" s="20">
        <v>0</v>
      </c>
      <c r="P40" s="20">
        <v>-4423.63</v>
      </c>
      <c r="Q40" s="20">
        <v>-5013.9799999999996</v>
      </c>
      <c r="R40" s="20">
        <v>-5659.17</v>
      </c>
      <c r="S40" s="20">
        <v>-10630.06</v>
      </c>
      <c r="T40" s="20">
        <v>-10630.06</v>
      </c>
      <c r="U40" s="20">
        <v>-11181.73</v>
      </c>
      <c r="V40" s="20">
        <v>-11181.73</v>
      </c>
      <c r="W40" s="20">
        <v>-17896.39</v>
      </c>
      <c r="X40" s="20">
        <v>-23060.14</v>
      </c>
      <c r="Y40" s="20">
        <v>-24630.11</v>
      </c>
      <c r="Z40" s="20">
        <v>-28372.27</v>
      </c>
      <c r="AA40" s="20">
        <v>0</v>
      </c>
      <c r="AB40" s="20">
        <v>-1399.81</v>
      </c>
      <c r="AC40" s="20">
        <v>-4083.53</v>
      </c>
      <c r="AD40" s="20">
        <v>-6885.19</v>
      </c>
      <c r="AE40" s="20">
        <v>-9697.23</v>
      </c>
      <c r="AF40" s="20">
        <v>-10770.76</v>
      </c>
      <c r="AG40" s="20">
        <v>-11576.53</v>
      </c>
      <c r="AH40" s="20">
        <v>-13998.39</v>
      </c>
      <c r="AI40" s="20">
        <v>-14751.6</v>
      </c>
      <c r="AJ40" s="20">
        <v>-15693.08</v>
      </c>
    </row>
    <row r="41" spans="1:36" x14ac:dyDescent="0.2">
      <c r="A41" t="s">
        <v>579</v>
      </c>
      <c r="B41" t="s">
        <v>580</v>
      </c>
      <c r="C41" s="20">
        <v>0</v>
      </c>
      <c r="D41" s="20">
        <v>82728.929999999993</v>
      </c>
      <c r="E41" s="20">
        <v>129971.92</v>
      </c>
      <c r="F41" s="20">
        <v>168470.06</v>
      </c>
      <c r="G41" s="20">
        <v>202234.21</v>
      </c>
      <c r="H41" s="20">
        <v>239352.66</v>
      </c>
      <c r="I41" s="20">
        <v>269424.7</v>
      </c>
      <c r="J41" s="20">
        <v>315772.65000000002</v>
      </c>
      <c r="K41" s="20">
        <v>350429.09</v>
      </c>
      <c r="L41" s="20">
        <v>400963.02</v>
      </c>
      <c r="M41" s="20">
        <v>438685.97</v>
      </c>
      <c r="N41" s="20">
        <v>483890.33</v>
      </c>
      <c r="O41" s="20">
        <v>0</v>
      </c>
      <c r="P41" s="20">
        <v>80981.37</v>
      </c>
      <c r="Q41" s="20">
        <v>133980.63</v>
      </c>
      <c r="R41" s="20">
        <v>186690.26</v>
      </c>
      <c r="S41" s="20">
        <v>226815.24</v>
      </c>
      <c r="T41" s="20">
        <v>275126.75</v>
      </c>
      <c r="U41" s="20">
        <v>319552.40000000002</v>
      </c>
      <c r="V41" s="20">
        <v>361437.14</v>
      </c>
      <c r="W41" s="20">
        <v>401051.85</v>
      </c>
      <c r="X41" s="20">
        <v>443066.59</v>
      </c>
      <c r="Y41" s="20">
        <v>482650.81</v>
      </c>
      <c r="Z41" s="20">
        <v>528925.27</v>
      </c>
      <c r="AA41" s="20">
        <v>0</v>
      </c>
      <c r="AB41" s="20">
        <v>93884.84</v>
      </c>
      <c r="AC41" s="20">
        <v>148920.15</v>
      </c>
      <c r="AD41" s="20">
        <v>200995.93</v>
      </c>
      <c r="AE41" s="20">
        <v>248739.6</v>
      </c>
      <c r="AF41" s="20">
        <v>299998.31</v>
      </c>
      <c r="AG41" s="20">
        <v>350705.95</v>
      </c>
      <c r="AH41" s="20">
        <v>405364.53</v>
      </c>
      <c r="AI41" s="20">
        <v>443973.3</v>
      </c>
      <c r="AJ41" s="20">
        <v>492454.25</v>
      </c>
    </row>
    <row r="42" spans="1:36" x14ac:dyDescent="0.2">
      <c r="A42" t="s">
        <v>581</v>
      </c>
      <c r="B42" t="s">
        <v>582</v>
      </c>
      <c r="C42" s="20">
        <v>0</v>
      </c>
      <c r="D42" s="20">
        <v>7165</v>
      </c>
      <c r="E42" s="20">
        <v>19460</v>
      </c>
      <c r="F42" s="20">
        <v>31772</v>
      </c>
      <c r="G42" s="20">
        <v>44600</v>
      </c>
      <c r="H42" s="20">
        <v>54921</v>
      </c>
      <c r="I42" s="20">
        <v>65907</v>
      </c>
      <c r="J42" s="20">
        <v>73278</v>
      </c>
      <c r="K42" s="20">
        <v>82291</v>
      </c>
      <c r="L42" s="20">
        <v>90221.75</v>
      </c>
      <c r="M42" s="20">
        <v>99893.75</v>
      </c>
      <c r="N42" s="20">
        <v>125071.75</v>
      </c>
      <c r="O42" s="20">
        <v>0</v>
      </c>
      <c r="P42" s="20">
        <v>3188</v>
      </c>
      <c r="Q42" s="20">
        <v>4854</v>
      </c>
      <c r="R42" s="20">
        <v>7660</v>
      </c>
      <c r="S42" s="20">
        <v>16663</v>
      </c>
      <c r="T42" s="20">
        <v>27665</v>
      </c>
      <c r="U42" s="20">
        <v>34210</v>
      </c>
      <c r="V42" s="20">
        <v>41134</v>
      </c>
      <c r="W42" s="20">
        <v>42132</v>
      </c>
      <c r="X42" s="20">
        <v>50599</v>
      </c>
      <c r="Y42" s="20">
        <v>59460</v>
      </c>
      <c r="Z42" s="20">
        <v>69575</v>
      </c>
      <c r="AA42" s="20">
        <v>0</v>
      </c>
      <c r="AB42" s="20">
        <v>0</v>
      </c>
      <c r="AC42" s="20">
        <v>1549</v>
      </c>
      <c r="AD42" s="20">
        <v>10161.99</v>
      </c>
      <c r="AE42" s="20">
        <v>12859.99</v>
      </c>
      <c r="AF42" s="20">
        <v>21685.74</v>
      </c>
      <c r="AG42" s="20">
        <v>35752.74</v>
      </c>
      <c r="AH42" s="20">
        <v>39163.74</v>
      </c>
      <c r="AI42" s="20">
        <v>56056.74</v>
      </c>
      <c r="AJ42" s="20">
        <v>70474.740000000005</v>
      </c>
    </row>
    <row r="43" spans="1:36" x14ac:dyDescent="0.2">
      <c r="A43" t="s">
        <v>583</v>
      </c>
      <c r="B43" t="s">
        <v>211</v>
      </c>
      <c r="C43" s="20">
        <v>0</v>
      </c>
      <c r="D43" s="20">
        <v>500305.82</v>
      </c>
      <c r="E43" s="20">
        <v>848885.36</v>
      </c>
      <c r="F43" s="20">
        <v>1210176.3799999999</v>
      </c>
      <c r="G43" s="20">
        <v>1542817.53</v>
      </c>
      <c r="H43" s="20">
        <v>1934663.22</v>
      </c>
      <c r="I43" s="20">
        <v>2323400.27</v>
      </c>
      <c r="J43" s="20">
        <v>2745603.06</v>
      </c>
      <c r="K43" s="20">
        <v>3121335.75</v>
      </c>
      <c r="L43" s="20">
        <v>3528186.69</v>
      </c>
      <c r="M43" s="20">
        <v>3883872.93</v>
      </c>
      <c r="N43" s="20">
        <v>4338273.04</v>
      </c>
      <c r="O43" s="20">
        <v>0</v>
      </c>
      <c r="P43" s="20">
        <v>451878.83</v>
      </c>
      <c r="Q43" s="20">
        <v>827851.97</v>
      </c>
      <c r="R43" s="20">
        <v>1296584.1399999999</v>
      </c>
      <c r="S43" s="20">
        <v>1703060.34</v>
      </c>
      <c r="T43" s="20">
        <v>2195971.5099999998</v>
      </c>
      <c r="U43" s="20">
        <v>2637781.36</v>
      </c>
      <c r="V43" s="20">
        <v>3056321.76</v>
      </c>
      <c r="W43" s="20">
        <v>3480842.54</v>
      </c>
      <c r="X43" s="20">
        <v>3882070.16</v>
      </c>
      <c r="Y43" s="20">
        <v>4311437.59</v>
      </c>
      <c r="Z43" s="20">
        <v>4788244.6399999997</v>
      </c>
      <c r="AA43" s="20">
        <v>0</v>
      </c>
      <c r="AB43" s="20">
        <v>537695.99</v>
      </c>
      <c r="AC43" s="20">
        <v>934966.83</v>
      </c>
      <c r="AD43" s="20">
        <v>1411652.93</v>
      </c>
      <c r="AE43" s="20">
        <v>1872141.91</v>
      </c>
      <c r="AF43" s="20">
        <v>2377234.11</v>
      </c>
      <c r="AG43" s="20">
        <v>2889452.5</v>
      </c>
      <c r="AH43" s="20">
        <v>3355883.3</v>
      </c>
      <c r="AI43" s="20">
        <v>3782123.84</v>
      </c>
      <c r="AJ43" s="20">
        <v>4233889.32</v>
      </c>
    </row>
    <row r="44" spans="1:36" x14ac:dyDescent="0.2">
      <c r="A44" t="s">
        <v>584</v>
      </c>
      <c r="B44" t="s">
        <v>494</v>
      </c>
      <c r="C44" s="20">
        <v>0</v>
      </c>
      <c r="D44" s="20">
        <v>3909.41</v>
      </c>
      <c r="E44" s="20">
        <v>7278.41</v>
      </c>
      <c r="F44" s="20">
        <v>7617.86</v>
      </c>
      <c r="G44" s="20">
        <v>10726.89</v>
      </c>
      <c r="H44" s="20">
        <v>17580.8</v>
      </c>
      <c r="I44" s="20">
        <v>18133.099999999999</v>
      </c>
      <c r="J44" s="20">
        <v>22026.36</v>
      </c>
      <c r="K44" s="20">
        <v>26804.61</v>
      </c>
      <c r="L44" s="20">
        <v>32478.46</v>
      </c>
      <c r="M44" s="20">
        <v>38689.51</v>
      </c>
      <c r="N44" s="20">
        <v>41195.870000000003</v>
      </c>
      <c r="O44" s="20">
        <v>0</v>
      </c>
      <c r="P44" s="20">
        <v>4539.46</v>
      </c>
      <c r="Q44" s="20">
        <v>7852.94</v>
      </c>
      <c r="R44" s="20">
        <v>11768.79</v>
      </c>
      <c r="S44" s="20">
        <v>16551.43</v>
      </c>
      <c r="T44" s="20">
        <v>24191.63</v>
      </c>
      <c r="U44" s="20">
        <v>26447.3</v>
      </c>
      <c r="V44" s="20">
        <v>30003.99</v>
      </c>
      <c r="W44" s="20">
        <v>30025.39</v>
      </c>
      <c r="X44" s="20">
        <v>36840.300000000003</v>
      </c>
      <c r="Y44" s="20">
        <v>45678.080000000002</v>
      </c>
      <c r="Z44" s="20">
        <v>46602.12</v>
      </c>
      <c r="AA44" s="20">
        <v>0</v>
      </c>
      <c r="AB44" s="20">
        <v>6627.07</v>
      </c>
      <c r="AC44" s="20">
        <v>12138.33</v>
      </c>
      <c r="AD44" s="20">
        <v>14594.88</v>
      </c>
      <c r="AE44" s="20">
        <v>20090.96</v>
      </c>
      <c r="AF44" s="20">
        <v>21084.34</v>
      </c>
      <c r="AG44" s="20">
        <v>27811.37</v>
      </c>
      <c r="AH44" s="20">
        <v>31907.119999999999</v>
      </c>
      <c r="AI44" s="20">
        <v>34840.160000000003</v>
      </c>
      <c r="AJ44" s="20">
        <v>42937.06</v>
      </c>
    </row>
    <row r="45" spans="1:36" x14ac:dyDescent="0.2">
      <c r="A45" t="s">
        <v>585</v>
      </c>
      <c r="B45" t="s">
        <v>213</v>
      </c>
      <c r="C45" s="20">
        <v>0</v>
      </c>
      <c r="D45" s="20">
        <v>17273.64</v>
      </c>
      <c r="E45" s="20">
        <v>32577.01</v>
      </c>
      <c r="F45" s="20">
        <v>47123.45</v>
      </c>
      <c r="G45" s="20">
        <v>63035.62</v>
      </c>
      <c r="H45" s="20">
        <v>78678.789999999994</v>
      </c>
      <c r="I45" s="20">
        <v>92885.74</v>
      </c>
      <c r="J45" s="20">
        <v>108002.6</v>
      </c>
      <c r="K45" s="20">
        <v>126683.07</v>
      </c>
      <c r="L45" s="20">
        <v>140730.46</v>
      </c>
      <c r="M45" s="20">
        <v>156566.04999999999</v>
      </c>
      <c r="N45" s="20">
        <v>171834.27</v>
      </c>
      <c r="O45" s="20">
        <v>0</v>
      </c>
      <c r="P45" s="20">
        <v>18005.240000000002</v>
      </c>
      <c r="Q45" s="20">
        <v>34458.97</v>
      </c>
      <c r="R45" s="20">
        <v>56637.15</v>
      </c>
      <c r="S45" s="20">
        <v>74388.27</v>
      </c>
      <c r="T45" s="20">
        <v>92086.45</v>
      </c>
      <c r="U45" s="20">
        <v>108775.22</v>
      </c>
      <c r="V45" s="20">
        <v>125779.64</v>
      </c>
      <c r="W45" s="20">
        <v>144436.06</v>
      </c>
      <c r="X45" s="20">
        <v>162951.41</v>
      </c>
      <c r="Y45" s="20">
        <v>178770.72</v>
      </c>
      <c r="Z45" s="20">
        <v>197019.95</v>
      </c>
      <c r="AA45" s="20">
        <v>0</v>
      </c>
      <c r="AB45" s="20">
        <v>17186.86</v>
      </c>
      <c r="AC45" s="20">
        <v>36282.11</v>
      </c>
      <c r="AD45" s="20">
        <v>59648.31</v>
      </c>
      <c r="AE45" s="20">
        <v>78858.45</v>
      </c>
      <c r="AF45" s="20">
        <v>98144.01</v>
      </c>
      <c r="AG45" s="20">
        <v>117713.14</v>
      </c>
      <c r="AH45" s="20">
        <v>134850.67000000001</v>
      </c>
      <c r="AI45" s="20">
        <v>155976.31</v>
      </c>
      <c r="AJ45" s="20">
        <v>171944.33</v>
      </c>
    </row>
    <row r="46" spans="1:36" x14ac:dyDescent="0.2">
      <c r="A46" t="s">
        <v>586</v>
      </c>
      <c r="B46" t="s">
        <v>587</v>
      </c>
      <c r="C46" s="20">
        <v>0</v>
      </c>
      <c r="D46" s="20">
        <v>28204.799999999999</v>
      </c>
      <c r="E46" s="20">
        <v>54240</v>
      </c>
      <c r="F46" s="20">
        <v>84976</v>
      </c>
      <c r="G46" s="20">
        <v>116941.44</v>
      </c>
      <c r="H46" s="20">
        <v>148906.88</v>
      </c>
      <c r="I46" s="20">
        <v>179642.88</v>
      </c>
      <c r="J46" s="20">
        <v>211608.32000000001</v>
      </c>
      <c r="K46" s="20">
        <v>244803.20000000001</v>
      </c>
      <c r="L46" s="20">
        <v>274309.76000000001</v>
      </c>
      <c r="M46" s="20">
        <v>306275.20000000001</v>
      </c>
      <c r="N46" s="20">
        <v>337011.20000000001</v>
      </c>
      <c r="O46" s="20">
        <v>0</v>
      </c>
      <c r="P46" s="20">
        <v>32924.400000000001</v>
      </c>
      <c r="Q46" s="20">
        <v>62049.83</v>
      </c>
      <c r="R46" s="20">
        <v>94974.23</v>
      </c>
      <c r="S46" s="20">
        <v>130356.79</v>
      </c>
      <c r="T46" s="20">
        <v>167154.65</v>
      </c>
      <c r="U46" s="20">
        <v>198812.73</v>
      </c>
      <c r="V46" s="20">
        <v>231737.13</v>
      </c>
      <c r="W46" s="20">
        <v>268534.99</v>
      </c>
      <c r="X46" s="20">
        <v>303917.55</v>
      </c>
      <c r="Y46" s="20">
        <v>340715.41</v>
      </c>
      <c r="Z46" s="20">
        <v>374682.67</v>
      </c>
      <c r="AA46" s="20">
        <v>0</v>
      </c>
      <c r="AB46" s="20">
        <v>37901.800000000003</v>
      </c>
      <c r="AC46" s="20">
        <v>71430.31</v>
      </c>
      <c r="AD46" s="20">
        <v>109332.11</v>
      </c>
      <c r="AE46" s="20">
        <v>145776.15</v>
      </c>
      <c r="AF46" s="20">
        <v>182220.19</v>
      </c>
      <c r="AG46" s="20">
        <v>220121.99</v>
      </c>
      <c r="AH46" s="20">
        <v>258023.79</v>
      </c>
      <c r="AI46" s="20">
        <v>295925.59000000003</v>
      </c>
      <c r="AJ46" s="20">
        <v>332369.63</v>
      </c>
    </row>
    <row r="47" spans="1:36" x14ac:dyDescent="0.2">
      <c r="A47" t="s">
        <v>588</v>
      </c>
      <c r="B47" t="s">
        <v>589</v>
      </c>
      <c r="C47" s="20">
        <v>0</v>
      </c>
      <c r="D47" s="20">
        <v>16096</v>
      </c>
      <c r="E47" s="20">
        <v>25237.22</v>
      </c>
      <c r="F47" s="20">
        <v>36149.980000000003</v>
      </c>
      <c r="G47" s="20">
        <v>49558.66</v>
      </c>
      <c r="H47" s="20">
        <v>63742.65</v>
      </c>
      <c r="I47" s="20">
        <v>75467.3</v>
      </c>
      <c r="J47" s="20">
        <v>87384.89</v>
      </c>
      <c r="K47" s="20">
        <v>99042.91</v>
      </c>
      <c r="L47" s="20">
        <v>112209.32</v>
      </c>
      <c r="M47" s="20">
        <v>125362.64</v>
      </c>
      <c r="N47" s="20">
        <v>142757.87</v>
      </c>
      <c r="O47" s="20">
        <v>0</v>
      </c>
      <c r="P47" s="20">
        <v>16831.91</v>
      </c>
      <c r="Q47" s="20">
        <v>26915.69</v>
      </c>
      <c r="R47" s="20">
        <v>40118.33</v>
      </c>
      <c r="S47" s="20">
        <v>56356.28</v>
      </c>
      <c r="T47" s="20">
        <v>70508.42</v>
      </c>
      <c r="U47" s="20">
        <v>83971.82</v>
      </c>
      <c r="V47" s="20">
        <v>95578.78</v>
      </c>
      <c r="W47" s="20">
        <v>107326.44</v>
      </c>
      <c r="X47" s="20">
        <v>123117.38</v>
      </c>
      <c r="Y47" s="20">
        <v>137255.43</v>
      </c>
      <c r="Z47" s="20">
        <v>155745.03</v>
      </c>
      <c r="AA47" s="20">
        <v>0</v>
      </c>
      <c r="AB47" s="20">
        <v>18980.099999999999</v>
      </c>
      <c r="AC47" s="20">
        <v>30319.95</v>
      </c>
      <c r="AD47" s="20">
        <v>45817.41</v>
      </c>
      <c r="AE47" s="20">
        <v>60327.53</v>
      </c>
      <c r="AF47" s="20">
        <v>76455.31</v>
      </c>
      <c r="AG47" s="20">
        <v>87910.21</v>
      </c>
      <c r="AH47" s="20">
        <v>102214.04</v>
      </c>
      <c r="AI47" s="20">
        <v>116459.12</v>
      </c>
      <c r="AJ47" s="20">
        <v>130400.2</v>
      </c>
    </row>
    <row r="48" spans="1:36" x14ac:dyDescent="0.2">
      <c r="A48" t="s">
        <v>590</v>
      </c>
      <c r="B48" t="s">
        <v>591</v>
      </c>
      <c r="C48" s="20">
        <v>0</v>
      </c>
      <c r="D48" s="20">
        <v>25238.73</v>
      </c>
      <c r="E48" s="20">
        <v>51598.63</v>
      </c>
      <c r="F48" s="20">
        <v>77500.59</v>
      </c>
      <c r="G48" s="20">
        <v>104389.55</v>
      </c>
      <c r="H48" s="20">
        <v>130827.52</v>
      </c>
      <c r="I48" s="20">
        <v>156578.23000000001</v>
      </c>
      <c r="J48" s="20">
        <v>183445.9</v>
      </c>
      <c r="K48" s="20">
        <v>209964.21</v>
      </c>
      <c r="L48" s="20">
        <v>235746.74</v>
      </c>
      <c r="M48" s="20">
        <v>260766.63</v>
      </c>
      <c r="N48" s="20">
        <v>286319.64</v>
      </c>
      <c r="O48" s="20">
        <v>0</v>
      </c>
      <c r="P48" s="20">
        <v>26706.68</v>
      </c>
      <c r="Q48" s="20">
        <v>53502.86</v>
      </c>
      <c r="R48" s="20">
        <v>82420.34</v>
      </c>
      <c r="S48" s="20">
        <v>109505.33</v>
      </c>
      <c r="T48" s="20">
        <v>138566.57999999999</v>
      </c>
      <c r="U48" s="20">
        <v>164996.97</v>
      </c>
      <c r="V48" s="20">
        <v>192015.65</v>
      </c>
      <c r="W48" s="20">
        <v>219912.55</v>
      </c>
      <c r="X48" s="20">
        <v>246784.49</v>
      </c>
      <c r="Y48" s="20">
        <v>274286.2</v>
      </c>
      <c r="Z48" s="20">
        <v>301438.27</v>
      </c>
      <c r="AA48" s="20">
        <v>0</v>
      </c>
      <c r="AB48" s="20">
        <v>28555.01</v>
      </c>
      <c r="AC48" s="20">
        <v>56106.3</v>
      </c>
      <c r="AD48" s="20">
        <v>84795.33</v>
      </c>
      <c r="AE48" s="20">
        <v>111680.42</v>
      </c>
      <c r="AF48" s="20">
        <v>140064.67000000001</v>
      </c>
      <c r="AG48" s="20">
        <v>169273.46</v>
      </c>
      <c r="AH48" s="20">
        <v>197289.86</v>
      </c>
      <c r="AI48" s="20">
        <v>225220.08</v>
      </c>
      <c r="AJ48" s="20">
        <v>254302.92</v>
      </c>
    </row>
    <row r="49" spans="1:36" x14ac:dyDescent="0.2">
      <c r="A49" t="s">
        <v>592</v>
      </c>
      <c r="B49" t="s">
        <v>593</v>
      </c>
      <c r="C49" s="20">
        <v>0</v>
      </c>
      <c r="D49" s="20">
        <v>19743.36</v>
      </c>
      <c r="E49" s="20">
        <v>37968</v>
      </c>
      <c r="F49" s="20">
        <v>56952</v>
      </c>
      <c r="G49" s="20">
        <v>76695.360000000001</v>
      </c>
      <c r="H49" s="20">
        <v>96438.720000000001</v>
      </c>
      <c r="I49" s="20">
        <v>115422.72</v>
      </c>
      <c r="J49" s="20">
        <v>135166.07999999999</v>
      </c>
      <c r="K49" s="20">
        <v>155668.79999999999</v>
      </c>
      <c r="L49" s="20">
        <v>173893.44</v>
      </c>
      <c r="M49" s="20">
        <v>193636.8</v>
      </c>
      <c r="N49" s="20">
        <v>212620.79999999999</v>
      </c>
      <c r="O49" s="20">
        <v>0</v>
      </c>
      <c r="P49" s="20">
        <v>20335.66</v>
      </c>
      <c r="Q49" s="20">
        <v>38324.9</v>
      </c>
      <c r="R49" s="20">
        <v>58660.56</v>
      </c>
      <c r="S49" s="20">
        <v>78214.080000000002</v>
      </c>
      <c r="T49" s="20">
        <v>98549.74</v>
      </c>
      <c r="U49" s="20">
        <v>118103.26</v>
      </c>
      <c r="V49" s="20">
        <v>138438.92000000001</v>
      </c>
      <c r="W49" s="20">
        <v>158774.57999999999</v>
      </c>
      <c r="X49" s="20">
        <v>178328.1</v>
      </c>
      <c r="Y49" s="20">
        <v>198663.76</v>
      </c>
      <c r="Z49" s="20">
        <v>217435.14</v>
      </c>
      <c r="AA49" s="20">
        <v>0</v>
      </c>
      <c r="AB49" s="20">
        <v>20945.73</v>
      </c>
      <c r="AC49" s="20">
        <v>39474.65</v>
      </c>
      <c r="AD49" s="20">
        <v>60420.38</v>
      </c>
      <c r="AE49" s="20">
        <v>80560.509999999995</v>
      </c>
      <c r="AF49" s="20">
        <v>100700.64</v>
      </c>
      <c r="AG49" s="20">
        <v>121646.37</v>
      </c>
      <c r="AH49" s="20">
        <v>142592.1</v>
      </c>
      <c r="AI49" s="20">
        <v>163537.82999999999</v>
      </c>
      <c r="AJ49" s="20">
        <v>183677.96</v>
      </c>
    </row>
    <row r="50" spans="1:36" x14ac:dyDescent="0.2">
      <c r="A50" t="s">
        <v>594</v>
      </c>
      <c r="B50" t="s">
        <v>595</v>
      </c>
      <c r="C50" s="20">
        <v>0</v>
      </c>
      <c r="D50" s="20">
        <v>34465</v>
      </c>
      <c r="E50" s="20">
        <v>68930</v>
      </c>
      <c r="F50" s="20">
        <v>103395</v>
      </c>
      <c r="G50" s="20">
        <v>137860</v>
      </c>
      <c r="H50" s="20">
        <v>172325</v>
      </c>
      <c r="I50" s="20">
        <v>206790</v>
      </c>
      <c r="J50" s="20">
        <v>241255</v>
      </c>
      <c r="K50" s="20">
        <v>275720</v>
      </c>
      <c r="L50" s="20">
        <v>310185</v>
      </c>
      <c r="M50" s="20">
        <v>344650</v>
      </c>
      <c r="N50" s="20">
        <v>379115</v>
      </c>
      <c r="O50" s="20">
        <v>0</v>
      </c>
      <c r="P50" s="20">
        <v>35498.949999999997</v>
      </c>
      <c r="Q50" s="20">
        <v>70997.899999999994</v>
      </c>
      <c r="R50" s="20">
        <v>106496.85</v>
      </c>
      <c r="S50" s="20">
        <v>141995.79999999999</v>
      </c>
      <c r="T50" s="20">
        <v>177494.75</v>
      </c>
      <c r="U50" s="20">
        <v>212993.7</v>
      </c>
      <c r="V50" s="20">
        <v>248492.65</v>
      </c>
      <c r="W50" s="20">
        <v>283991.59999999998</v>
      </c>
      <c r="X50" s="20">
        <v>319490.55</v>
      </c>
      <c r="Y50" s="20">
        <v>354989.5</v>
      </c>
      <c r="Z50" s="20">
        <v>390488.45</v>
      </c>
      <c r="AA50" s="20">
        <v>0</v>
      </c>
      <c r="AB50" s="20">
        <v>36563.919999999998</v>
      </c>
      <c r="AC50" s="20">
        <v>73127.839999999997</v>
      </c>
      <c r="AD50" s="20">
        <v>109691.76</v>
      </c>
      <c r="AE50" s="20">
        <v>146255.67999999999</v>
      </c>
      <c r="AF50" s="20">
        <v>182819.6</v>
      </c>
      <c r="AG50" s="20">
        <v>219383.52</v>
      </c>
      <c r="AH50" s="20">
        <v>255947.44</v>
      </c>
      <c r="AI50" s="20">
        <v>292511.35999999999</v>
      </c>
      <c r="AJ50" s="20">
        <v>329075.28000000003</v>
      </c>
    </row>
    <row r="51" spans="1:36" x14ac:dyDescent="0.2">
      <c r="A51" t="s">
        <v>596</v>
      </c>
      <c r="B51" t="s">
        <v>597</v>
      </c>
      <c r="C51" s="20">
        <v>0</v>
      </c>
      <c r="D51" s="20">
        <v>44000</v>
      </c>
      <c r="E51" s="20">
        <v>88000</v>
      </c>
      <c r="F51" s="20">
        <v>132000</v>
      </c>
      <c r="G51" s="20">
        <v>176000</v>
      </c>
      <c r="H51" s="20">
        <v>220000</v>
      </c>
      <c r="I51" s="20">
        <v>264000</v>
      </c>
      <c r="J51" s="20">
        <v>308000</v>
      </c>
      <c r="K51" s="20">
        <v>352000</v>
      </c>
      <c r="L51" s="20">
        <v>396000</v>
      </c>
      <c r="M51" s="20">
        <v>440000</v>
      </c>
      <c r="N51" s="20">
        <v>484000</v>
      </c>
      <c r="O51" s="20">
        <v>0</v>
      </c>
      <c r="P51" s="20">
        <v>45320</v>
      </c>
      <c r="Q51" s="20">
        <v>90640</v>
      </c>
      <c r="R51" s="20">
        <v>135960</v>
      </c>
      <c r="S51" s="20">
        <v>181280</v>
      </c>
      <c r="T51" s="20">
        <v>226600</v>
      </c>
      <c r="U51" s="20">
        <v>271920</v>
      </c>
      <c r="V51" s="20">
        <v>317240</v>
      </c>
      <c r="W51" s="20">
        <v>362560</v>
      </c>
      <c r="X51" s="20">
        <v>407880</v>
      </c>
      <c r="Y51" s="20">
        <v>453200</v>
      </c>
      <c r="Z51" s="20">
        <v>498520</v>
      </c>
      <c r="AA51" s="20">
        <v>0</v>
      </c>
      <c r="AB51" s="20">
        <v>46679.6</v>
      </c>
      <c r="AC51" s="20">
        <v>93359.2</v>
      </c>
      <c r="AD51" s="20">
        <v>140038.79999999999</v>
      </c>
      <c r="AE51" s="20">
        <v>186718.4</v>
      </c>
      <c r="AF51" s="20">
        <v>233398</v>
      </c>
      <c r="AG51" s="20">
        <v>280077.59999999998</v>
      </c>
      <c r="AH51" s="20">
        <v>326757.2</v>
      </c>
      <c r="AI51" s="20">
        <v>373436.8</v>
      </c>
      <c r="AJ51" s="20">
        <v>420116.4</v>
      </c>
    </row>
    <row r="52" spans="1:36" x14ac:dyDescent="0.2">
      <c r="A52" t="s">
        <v>598</v>
      </c>
      <c r="B52" t="s">
        <v>599</v>
      </c>
      <c r="C52" s="20">
        <v>0</v>
      </c>
      <c r="D52" s="20">
        <v>9800</v>
      </c>
      <c r="E52" s="20">
        <v>19600</v>
      </c>
      <c r="F52" s="20">
        <v>29400</v>
      </c>
      <c r="G52" s="20">
        <v>39200</v>
      </c>
      <c r="H52" s="20">
        <v>49000</v>
      </c>
      <c r="I52" s="20">
        <v>58800</v>
      </c>
      <c r="J52" s="20">
        <v>68600</v>
      </c>
      <c r="K52" s="20">
        <v>78400</v>
      </c>
      <c r="L52" s="20">
        <v>88200</v>
      </c>
      <c r="M52" s="20">
        <v>98000</v>
      </c>
      <c r="N52" s="20">
        <v>107800</v>
      </c>
      <c r="O52" s="20">
        <v>0</v>
      </c>
      <c r="P52" s="20">
        <v>10045</v>
      </c>
      <c r="Q52" s="20">
        <v>20090</v>
      </c>
      <c r="R52" s="20">
        <v>30135</v>
      </c>
      <c r="S52" s="20">
        <v>40180</v>
      </c>
      <c r="T52" s="20">
        <v>50225</v>
      </c>
      <c r="U52" s="20">
        <v>60270</v>
      </c>
      <c r="V52" s="20">
        <v>70315</v>
      </c>
      <c r="W52" s="20">
        <v>80360</v>
      </c>
      <c r="X52" s="20">
        <v>90405</v>
      </c>
      <c r="Y52" s="20">
        <v>100450</v>
      </c>
      <c r="Z52" s="20">
        <v>110495</v>
      </c>
      <c r="AA52" s="20">
        <v>0</v>
      </c>
      <c r="AB52" s="20">
        <v>10296.120000000001</v>
      </c>
      <c r="AC52" s="20">
        <v>20592.240000000002</v>
      </c>
      <c r="AD52" s="20">
        <v>30888.36</v>
      </c>
      <c r="AE52" s="20">
        <v>41184.480000000003</v>
      </c>
      <c r="AF52" s="20">
        <v>51480.6</v>
      </c>
      <c r="AG52" s="20">
        <v>61776.72</v>
      </c>
      <c r="AH52" s="20">
        <v>72072.84</v>
      </c>
      <c r="AI52" s="20">
        <v>82368.960000000006</v>
      </c>
      <c r="AJ52" s="20">
        <v>92665.08</v>
      </c>
    </row>
    <row r="53" spans="1:36" x14ac:dyDescent="0.2">
      <c r="A53" t="s">
        <v>600</v>
      </c>
      <c r="B53" t="s">
        <v>601</v>
      </c>
      <c r="C53" s="20">
        <v>0</v>
      </c>
      <c r="D53" s="20">
        <v>11473.57</v>
      </c>
      <c r="E53" s="20">
        <v>21895.1</v>
      </c>
      <c r="F53" s="20">
        <v>31270.03</v>
      </c>
      <c r="G53" s="20">
        <v>39416.14</v>
      </c>
      <c r="H53" s="20">
        <v>47263.76</v>
      </c>
      <c r="I53" s="20">
        <v>54108.959999999999</v>
      </c>
      <c r="J53" s="20">
        <v>60000.63</v>
      </c>
      <c r="K53" s="20">
        <v>66109.759999999995</v>
      </c>
      <c r="L53" s="20">
        <v>73212.3</v>
      </c>
      <c r="M53" s="20">
        <v>81929.429999999993</v>
      </c>
      <c r="N53" s="20">
        <v>91369.41</v>
      </c>
      <c r="O53" s="20">
        <v>0</v>
      </c>
      <c r="P53" s="20">
        <v>11178.28</v>
      </c>
      <c r="Q53" s="20">
        <v>21728.42</v>
      </c>
      <c r="R53" s="20">
        <v>31235.83</v>
      </c>
      <c r="S53" s="20">
        <v>39379.160000000003</v>
      </c>
      <c r="T53" s="20">
        <v>47008.53</v>
      </c>
      <c r="U53" s="20">
        <v>53180.79</v>
      </c>
      <c r="V53" s="20">
        <v>58739.29</v>
      </c>
      <c r="W53" s="20">
        <v>65177.46</v>
      </c>
      <c r="X53" s="20">
        <v>72288.67</v>
      </c>
      <c r="Y53" s="20">
        <v>80541.490000000005</v>
      </c>
      <c r="Z53" s="20">
        <v>89609.600000000006</v>
      </c>
      <c r="AA53" s="20">
        <v>0</v>
      </c>
      <c r="AB53" s="20">
        <v>10814.5</v>
      </c>
      <c r="AC53" s="20">
        <v>20523.3</v>
      </c>
      <c r="AD53" s="20">
        <v>29542.21</v>
      </c>
      <c r="AE53" s="20">
        <v>37563.360000000001</v>
      </c>
      <c r="AF53" s="20">
        <v>45138.77</v>
      </c>
      <c r="AG53" s="20">
        <v>51148.47</v>
      </c>
      <c r="AH53" s="20">
        <v>56742.04</v>
      </c>
      <c r="AI53" s="20">
        <v>63050.26</v>
      </c>
      <c r="AJ53" s="20">
        <v>70159.05</v>
      </c>
    </row>
    <row r="54" spans="1:36" x14ac:dyDescent="0.2">
      <c r="A54" t="s">
        <v>602</v>
      </c>
      <c r="B54" t="s">
        <v>225</v>
      </c>
      <c r="C54" s="20">
        <v>0</v>
      </c>
      <c r="D54" s="20">
        <v>48733.99</v>
      </c>
      <c r="E54" s="20">
        <v>81555.350000000006</v>
      </c>
      <c r="F54" s="20">
        <v>104979.17</v>
      </c>
      <c r="G54" s="20">
        <v>140583.69</v>
      </c>
      <c r="H54" s="20">
        <v>184457.31</v>
      </c>
      <c r="I54" s="20">
        <v>218680.65</v>
      </c>
      <c r="J54" s="20">
        <v>246934.9</v>
      </c>
      <c r="K54" s="20">
        <v>278035.18</v>
      </c>
      <c r="L54" s="20">
        <v>324332.61</v>
      </c>
      <c r="M54" s="20">
        <v>371324.42</v>
      </c>
      <c r="N54" s="20">
        <v>414465.29</v>
      </c>
      <c r="O54" s="20">
        <v>0</v>
      </c>
      <c r="P54" s="20">
        <v>39436.99</v>
      </c>
      <c r="Q54" s="20">
        <v>79778.64</v>
      </c>
      <c r="R54" s="20">
        <v>105101.14</v>
      </c>
      <c r="S54" s="20">
        <v>155520.93</v>
      </c>
      <c r="T54" s="20">
        <v>203803.32</v>
      </c>
      <c r="U54" s="20">
        <v>247064.95</v>
      </c>
      <c r="V54" s="20">
        <v>277415.07</v>
      </c>
      <c r="W54" s="20">
        <v>307722.37</v>
      </c>
      <c r="X54" s="20">
        <v>355331.65</v>
      </c>
      <c r="Y54" s="20">
        <v>402865.16</v>
      </c>
      <c r="Z54" s="20">
        <v>451707.85</v>
      </c>
      <c r="AA54" s="20">
        <v>0</v>
      </c>
      <c r="AB54" s="20">
        <v>47859.98</v>
      </c>
      <c r="AC54" s="20">
        <v>96065.17</v>
      </c>
      <c r="AD54" s="20">
        <v>122772.85</v>
      </c>
      <c r="AE54" s="20">
        <v>177078.42</v>
      </c>
      <c r="AF54" s="20">
        <v>224887.27</v>
      </c>
      <c r="AG54" s="20">
        <v>265584.42</v>
      </c>
      <c r="AH54" s="20">
        <v>298467.5</v>
      </c>
      <c r="AI54" s="20">
        <v>336090.88</v>
      </c>
      <c r="AJ54" s="20">
        <v>381098.83</v>
      </c>
    </row>
    <row r="55" spans="1:36" x14ac:dyDescent="0.2">
      <c r="A55" t="s">
        <v>603</v>
      </c>
      <c r="B55" t="s">
        <v>604</v>
      </c>
      <c r="C55" s="20">
        <v>0</v>
      </c>
      <c r="D55" s="20">
        <v>5200</v>
      </c>
      <c r="E55" s="20">
        <v>10400</v>
      </c>
      <c r="F55" s="20">
        <v>15600</v>
      </c>
      <c r="G55" s="20">
        <v>20800</v>
      </c>
      <c r="H55" s="20">
        <v>26000</v>
      </c>
      <c r="I55" s="20">
        <v>31200</v>
      </c>
      <c r="J55" s="20">
        <v>36400</v>
      </c>
      <c r="K55" s="20">
        <v>41600</v>
      </c>
      <c r="L55" s="20">
        <v>46800</v>
      </c>
      <c r="M55" s="20">
        <v>52000</v>
      </c>
      <c r="N55" s="20">
        <v>57200</v>
      </c>
      <c r="O55" s="20">
        <v>0</v>
      </c>
      <c r="P55" s="20">
        <v>5408</v>
      </c>
      <c r="Q55" s="20">
        <v>10816</v>
      </c>
      <c r="R55" s="20">
        <v>16224</v>
      </c>
      <c r="S55" s="20">
        <v>21632</v>
      </c>
      <c r="T55" s="20">
        <v>27040</v>
      </c>
      <c r="U55" s="20">
        <v>32448</v>
      </c>
      <c r="V55" s="20">
        <v>37856</v>
      </c>
      <c r="W55" s="20">
        <v>43264</v>
      </c>
      <c r="X55" s="20">
        <v>48672</v>
      </c>
      <c r="Y55" s="20">
        <v>54080</v>
      </c>
      <c r="Z55" s="20">
        <v>59488</v>
      </c>
      <c r="AA55" s="20">
        <v>0</v>
      </c>
      <c r="AB55" s="20">
        <v>5624.32</v>
      </c>
      <c r="AC55" s="20">
        <v>11248.64</v>
      </c>
      <c r="AD55" s="20">
        <v>16872.96</v>
      </c>
      <c r="AE55" s="20">
        <v>22497.279999999999</v>
      </c>
      <c r="AF55" s="20">
        <v>28121.599999999999</v>
      </c>
      <c r="AG55" s="20">
        <v>33745.919999999998</v>
      </c>
      <c r="AH55" s="20">
        <v>39370.239999999998</v>
      </c>
      <c r="AI55" s="20">
        <v>44994.559999999998</v>
      </c>
      <c r="AJ55" s="20">
        <v>50618.879999999997</v>
      </c>
    </row>
    <row r="56" spans="1:36" x14ac:dyDescent="0.2">
      <c r="A56" t="s">
        <v>605</v>
      </c>
      <c r="B56" t="s">
        <v>606</v>
      </c>
      <c r="C56" s="20">
        <v>0</v>
      </c>
      <c r="D56" s="20">
        <v>7462.75</v>
      </c>
      <c r="E56" s="20">
        <v>15080.9</v>
      </c>
      <c r="F56" s="20">
        <v>23072.68</v>
      </c>
      <c r="G56" s="20">
        <v>30487.86</v>
      </c>
      <c r="H56" s="20">
        <v>38437.51</v>
      </c>
      <c r="I56" s="20">
        <v>45322.44</v>
      </c>
      <c r="J56" s="20">
        <v>53781.84</v>
      </c>
      <c r="K56" s="20">
        <v>61041.21</v>
      </c>
      <c r="L56" s="20">
        <v>68581.88</v>
      </c>
      <c r="M56" s="20">
        <v>76842.009999999995</v>
      </c>
      <c r="N56" s="20">
        <v>85082.51</v>
      </c>
      <c r="O56" s="20">
        <v>0</v>
      </c>
      <c r="P56" s="20">
        <v>7573.39</v>
      </c>
      <c r="Q56" s="20">
        <v>15667.6</v>
      </c>
      <c r="R56" s="20">
        <v>23972.91</v>
      </c>
      <c r="S56" s="20">
        <v>32112.49</v>
      </c>
      <c r="T56" s="20">
        <v>40488.879999999997</v>
      </c>
      <c r="U56" s="20">
        <v>48083.33</v>
      </c>
      <c r="V56" s="20">
        <v>56211.02</v>
      </c>
      <c r="W56" s="20">
        <v>63553.07</v>
      </c>
      <c r="X56" s="20">
        <v>71382.03</v>
      </c>
      <c r="Y56" s="20">
        <v>78996.100000000006</v>
      </c>
      <c r="Z56" s="20">
        <v>85773.35</v>
      </c>
      <c r="AA56" s="20">
        <v>0</v>
      </c>
      <c r="AB56" s="20">
        <v>7497.49</v>
      </c>
      <c r="AC56" s="20">
        <v>14957.86</v>
      </c>
      <c r="AD56" s="20">
        <v>22521.040000000001</v>
      </c>
      <c r="AE56" s="20">
        <v>30235.23</v>
      </c>
      <c r="AF56" s="20">
        <v>37751.26</v>
      </c>
      <c r="AG56" s="20">
        <v>45584.07</v>
      </c>
      <c r="AH56" s="20">
        <v>53690.15</v>
      </c>
      <c r="AI56" s="20">
        <v>61834.65</v>
      </c>
      <c r="AJ56" s="20">
        <v>70224.27</v>
      </c>
    </row>
    <row r="57" spans="1:36" x14ac:dyDescent="0.2">
      <c r="A57" t="s">
        <v>607</v>
      </c>
      <c r="B57" t="s">
        <v>608</v>
      </c>
      <c r="C57" s="20">
        <v>0</v>
      </c>
      <c r="D57" s="20">
        <v>3630.53</v>
      </c>
      <c r="E57" s="20">
        <v>6969.13</v>
      </c>
      <c r="F57" s="20">
        <v>10272.48</v>
      </c>
      <c r="G57" s="20">
        <v>13665.11</v>
      </c>
      <c r="H57" s="20">
        <v>17062.580000000002</v>
      </c>
      <c r="I57" s="20">
        <v>20196.93</v>
      </c>
      <c r="J57" s="20">
        <v>23515.64</v>
      </c>
      <c r="K57" s="20">
        <v>27163.37</v>
      </c>
      <c r="L57" s="20">
        <v>30504.68</v>
      </c>
      <c r="M57" s="20">
        <v>33827.51</v>
      </c>
      <c r="N57" s="20">
        <v>36972.400000000001</v>
      </c>
      <c r="O57" s="20">
        <v>0</v>
      </c>
      <c r="P57" s="20">
        <v>3328.71</v>
      </c>
      <c r="Q57" s="20">
        <v>6922.38</v>
      </c>
      <c r="R57" s="20">
        <v>10320.780000000001</v>
      </c>
      <c r="S57" s="20">
        <v>13882.27</v>
      </c>
      <c r="T57" s="20">
        <v>17343.88</v>
      </c>
      <c r="U57" s="20">
        <v>20812.13</v>
      </c>
      <c r="V57" s="20">
        <v>24251.040000000001</v>
      </c>
      <c r="W57" s="20">
        <v>27822.71</v>
      </c>
      <c r="X57" s="20">
        <v>31236.31</v>
      </c>
      <c r="Y57" s="20">
        <v>34776</v>
      </c>
      <c r="Z57" s="20">
        <v>38421.660000000003</v>
      </c>
      <c r="AA57" s="20">
        <v>0</v>
      </c>
      <c r="AB57" s="20">
        <v>3451.62</v>
      </c>
      <c r="AC57" s="20">
        <v>7130.26</v>
      </c>
      <c r="AD57" s="20">
        <v>10506.72</v>
      </c>
      <c r="AE57" s="20">
        <v>13846.88</v>
      </c>
      <c r="AF57" s="20">
        <v>17279.3</v>
      </c>
      <c r="AG57" s="20">
        <v>20989.18</v>
      </c>
      <c r="AH57" s="20">
        <v>24862.79</v>
      </c>
      <c r="AI57" s="20">
        <v>28558.26</v>
      </c>
      <c r="AJ57" s="20">
        <v>32519.5</v>
      </c>
    </row>
    <row r="58" spans="1:36" x14ac:dyDescent="0.2">
      <c r="A58" t="s">
        <v>609</v>
      </c>
      <c r="B58" t="s">
        <v>610</v>
      </c>
      <c r="C58" s="20">
        <v>0</v>
      </c>
      <c r="D58" s="20">
        <v>3864.04</v>
      </c>
      <c r="E58" s="20">
        <v>7866.12</v>
      </c>
      <c r="F58" s="20">
        <v>12322.91</v>
      </c>
      <c r="G58" s="20">
        <v>15975.28</v>
      </c>
      <c r="H58" s="20">
        <v>21026.880000000001</v>
      </c>
      <c r="I58" s="20">
        <v>24759.68</v>
      </c>
      <c r="J58" s="20">
        <v>28525.81</v>
      </c>
      <c r="K58" s="20">
        <v>32248.43</v>
      </c>
      <c r="L58" s="20">
        <v>36255.21</v>
      </c>
      <c r="M58" s="20">
        <v>40429.99</v>
      </c>
      <c r="N58" s="20">
        <v>44859.73</v>
      </c>
      <c r="O58" s="20">
        <v>0</v>
      </c>
      <c r="P58" s="20">
        <v>4075.9</v>
      </c>
      <c r="Q58" s="20">
        <v>8192.2199999999993</v>
      </c>
      <c r="R58" s="20">
        <v>12368.35</v>
      </c>
      <c r="S58" s="20">
        <v>16251.37</v>
      </c>
      <c r="T58" s="20">
        <v>20537.009999999998</v>
      </c>
      <c r="U58" s="20">
        <v>25122.31</v>
      </c>
      <c r="V58" s="20">
        <v>29297.52</v>
      </c>
      <c r="W58" s="20">
        <v>33884.25</v>
      </c>
      <c r="X58" s="20">
        <v>38246.53</v>
      </c>
      <c r="Y58" s="20">
        <v>42646.98</v>
      </c>
      <c r="Z58" s="20">
        <v>47006.27</v>
      </c>
      <c r="AA58" s="20">
        <v>0</v>
      </c>
      <c r="AB58" s="20">
        <v>4859.74</v>
      </c>
      <c r="AC58" s="20">
        <v>9304.57</v>
      </c>
      <c r="AD58" s="20">
        <v>13620.47</v>
      </c>
      <c r="AE58" s="20">
        <v>18409.41</v>
      </c>
      <c r="AF58" s="20">
        <v>22367.46</v>
      </c>
      <c r="AG58" s="20">
        <v>26842.07</v>
      </c>
      <c r="AH58" s="20">
        <v>30981.599999999999</v>
      </c>
      <c r="AI58" s="20">
        <v>35580.879999999997</v>
      </c>
      <c r="AJ58" s="20">
        <v>40174.07</v>
      </c>
    </row>
    <row r="59" spans="1:36" x14ac:dyDescent="0.2">
      <c r="A59" t="s">
        <v>611</v>
      </c>
      <c r="B59" t="s">
        <v>612</v>
      </c>
      <c r="C59" s="20">
        <v>0</v>
      </c>
      <c r="D59" s="20">
        <v>2625</v>
      </c>
      <c r="E59" s="20">
        <v>4475</v>
      </c>
      <c r="F59" s="20">
        <v>6700</v>
      </c>
      <c r="G59" s="20">
        <v>9050</v>
      </c>
      <c r="H59" s="20">
        <v>11200</v>
      </c>
      <c r="I59" s="20">
        <v>13200</v>
      </c>
      <c r="J59" s="20">
        <v>15075</v>
      </c>
      <c r="K59" s="20">
        <v>16975</v>
      </c>
      <c r="L59" s="20">
        <v>19025</v>
      </c>
      <c r="M59" s="20">
        <v>21300</v>
      </c>
      <c r="N59" s="20">
        <v>23600</v>
      </c>
      <c r="O59" s="20">
        <v>0</v>
      </c>
      <c r="P59" s="20">
        <v>3250</v>
      </c>
      <c r="Q59" s="20">
        <v>5325</v>
      </c>
      <c r="R59" s="20">
        <v>7750</v>
      </c>
      <c r="S59" s="20">
        <v>10600</v>
      </c>
      <c r="T59" s="20">
        <v>12850</v>
      </c>
      <c r="U59" s="20">
        <v>14875</v>
      </c>
      <c r="V59" s="20">
        <v>17150</v>
      </c>
      <c r="W59" s="20">
        <v>19450</v>
      </c>
      <c r="X59" s="20">
        <v>22000</v>
      </c>
      <c r="Y59" s="20">
        <v>24625</v>
      </c>
      <c r="Z59" s="20">
        <v>27300</v>
      </c>
      <c r="AA59" s="20">
        <v>0</v>
      </c>
      <c r="AB59" s="20">
        <v>2800</v>
      </c>
      <c r="AC59" s="20">
        <v>5375</v>
      </c>
      <c r="AD59" s="20">
        <v>7425</v>
      </c>
      <c r="AE59" s="20">
        <v>9400</v>
      </c>
      <c r="AF59" s="20">
        <v>12300</v>
      </c>
      <c r="AG59" s="20">
        <v>14425</v>
      </c>
      <c r="AH59" s="20">
        <v>16850</v>
      </c>
      <c r="AI59" s="20">
        <v>19250</v>
      </c>
      <c r="AJ59" s="20">
        <v>22550</v>
      </c>
    </row>
    <row r="60" spans="1:36" x14ac:dyDescent="0.2">
      <c r="A60" t="s">
        <v>613</v>
      </c>
      <c r="B60" t="s">
        <v>614</v>
      </c>
      <c r="C60" s="20">
        <v>0</v>
      </c>
      <c r="D60" s="20">
        <v>9652.0300000000007</v>
      </c>
      <c r="E60" s="20">
        <v>16905.88</v>
      </c>
      <c r="F60" s="20">
        <v>24995.39</v>
      </c>
      <c r="G60" s="20">
        <v>33656.93</v>
      </c>
      <c r="H60" s="20">
        <v>42910.31</v>
      </c>
      <c r="I60" s="20">
        <v>51976.41</v>
      </c>
      <c r="J60" s="20">
        <v>61675.25</v>
      </c>
      <c r="K60" s="20">
        <v>70162.84</v>
      </c>
      <c r="L60" s="20">
        <v>78878.25</v>
      </c>
      <c r="M60" s="20">
        <v>87177.86</v>
      </c>
      <c r="N60" s="20">
        <v>97020.18</v>
      </c>
      <c r="O60" s="20">
        <v>0</v>
      </c>
      <c r="P60" s="20">
        <v>9684.31</v>
      </c>
      <c r="Q60" s="20">
        <v>16925.88</v>
      </c>
      <c r="R60" s="20">
        <v>27039.11</v>
      </c>
      <c r="S60" s="20">
        <v>36823.32</v>
      </c>
      <c r="T60" s="20">
        <v>47183.76</v>
      </c>
      <c r="U60" s="20">
        <v>55655.01</v>
      </c>
      <c r="V60" s="20">
        <v>63879.29</v>
      </c>
      <c r="W60" s="20">
        <v>73035.87</v>
      </c>
      <c r="X60" s="20">
        <v>83489.38</v>
      </c>
      <c r="Y60" s="20">
        <v>92659.97</v>
      </c>
      <c r="Z60" s="20">
        <v>104876.06</v>
      </c>
      <c r="AA60" s="20">
        <v>0</v>
      </c>
      <c r="AB60" s="20">
        <v>12074.22</v>
      </c>
      <c r="AC60" s="20">
        <v>19966.310000000001</v>
      </c>
      <c r="AD60" s="20">
        <v>30242.07</v>
      </c>
      <c r="AE60" s="20">
        <v>40309.33</v>
      </c>
      <c r="AF60" s="20">
        <v>50629.11</v>
      </c>
      <c r="AG60" s="20">
        <v>61090.52</v>
      </c>
      <c r="AH60" s="20">
        <v>71089.429999999993</v>
      </c>
      <c r="AI60" s="20">
        <v>80934.63</v>
      </c>
      <c r="AJ60" s="20">
        <v>90767.82</v>
      </c>
    </row>
    <row r="61" spans="1:36" x14ac:dyDescent="0.2">
      <c r="A61" t="s">
        <v>615</v>
      </c>
      <c r="B61" t="s">
        <v>616</v>
      </c>
      <c r="C61" s="20">
        <v>0</v>
      </c>
      <c r="D61" s="20">
        <v>10351.83</v>
      </c>
      <c r="E61" s="20">
        <v>18101.27</v>
      </c>
      <c r="F61" s="20">
        <v>25143.03</v>
      </c>
      <c r="G61" s="20">
        <v>31105.59</v>
      </c>
      <c r="H61" s="20">
        <v>36970.620000000003</v>
      </c>
      <c r="I61" s="20">
        <v>43230.55</v>
      </c>
      <c r="J61" s="20">
        <v>49990.16</v>
      </c>
      <c r="K61" s="20">
        <v>59783.32</v>
      </c>
      <c r="L61" s="20">
        <v>69970.7</v>
      </c>
      <c r="M61" s="20">
        <v>76297.88</v>
      </c>
      <c r="N61" s="20">
        <v>86954.84</v>
      </c>
      <c r="O61" s="20">
        <v>0</v>
      </c>
      <c r="P61" s="20">
        <v>9890.23</v>
      </c>
      <c r="Q61" s="20">
        <v>18991.349999999999</v>
      </c>
      <c r="R61" s="20">
        <v>29376.55</v>
      </c>
      <c r="S61" s="20">
        <v>39203.79</v>
      </c>
      <c r="T61" s="20">
        <v>50388.24</v>
      </c>
      <c r="U61" s="20">
        <v>60514.13</v>
      </c>
      <c r="V61" s="20">
        <v>69189.17</v>
      </c>
      <c r="W61" s="20">
        <v>77698.570000000007</v>
      </c>
      <c r="X61" s="20">
        <v>84804.72</v>
      </c>
      <c r="Y61" s="20">
        <v>95580.479999999996</v>
      </c>
      <c r="Z61" s="20">
        <v>104851.68</v>
      </c>
      <c r="AA61" s="20">
        <v>0</v>
      </c>
      <c r="AB61" s="20">
        <v>10469.34</v>
      </c>
      <c r="AC61" s="20">
        <v>18329.04</v>
      </c>
      <c r="AD61" s="20">
        <v>29653.22</v>
      </c>
      <c r="AE61" s="20">
        <v>40000.53</v>
      </c>
      <c r="AF61" s="20">
        <v>52215.7</v>
      </c>
      <c r="AG61" s="20">
        <v>61913</v>
      </c>
      <c r="AH61" s="20">
        <v>72538.460000000006</v>
      </c>
      <c r="AI61" s="20">
        <v>80844.539999999994</v>
      </c>
      <c r="AJ61" s="20">
        <v>93567.55</v>
      </c>
    </row>
    <row r="62" spans="1:36" x14ac:dyDescent="0.2">
      <c r="A62" t="s">
        <v>617</v>
      </c>
      <c r="B62" t="s">
        <v>236</v>
      </c>
      <c r="C62" s="20">
        <v>0</v>
      </c>
      <c r="D62" s="20">
        <v>7892.86</v>
      </c>
      <c r="E62" s="20">
        <v>15785.72</v>
      </c>
      <c r="F62" s="20">
        <v>23678.58</v>
      </c>
      <c r="G62" s="20">
        <v>31571.439999999999</v>
      </c>
      <c r="H62" s="20">
        <v>39464.300000000003</v>
      </c>
      <c r="I62" s="20">
        <v>48065.49</v>
      </c>
      <c r="J62" s="20">
        <v>56666.68</v>
      </c>
      <c r="K62" s="20">
        <v>65267.87</v>
      </c>
      <c r="L62" s="20">
        <v>73869.06</v>
      </c>
      <c r="M62" s="20">
        <v>82470.25</v>
      </c>
      <c r="N62" s="20">
        <v>91071.44</v>
      </c>
      <c r="O62" s="20">
        <v>0</v>
      </c>
      <c r="P62" s="20">
        <v>8601.19</v>
      </c>
      <c r="Q62" s="20">
        <v>17202.38</v>
      </c>
      <c r="R62" s="20">
        <v>25803.57</v>
      </c>
      <c r="S62" s="20">
        <v>34976.19</v>
      </c>
      <c r="T62" s="20">
        <v>44148.81</v>
      </c>
      <c r="U62" s="20">
        <v>53321.43</v>
      </c>
      <c r="V62" s="20">
        <v>62494.05</v>
      </c>
      <c r="W62" s="20">
        <v>71666.67</v>
      </c>
      <c r="X62" s="20">
        <v>80839.289999999994</v>
      </c>
      <c r="Y62" s="20">
        <v>91011.91</v>
      </c>
      <c r="Z62" s="20">
        <v>101184.53</v>
      </c>
      <c r="AA62" s="20">
        <v>0</v>
      </c>
      <c r="AB62" s="20">
        <v>10172.620000000001</v>
      </c>
      <c r="AC62" s="20">
        <v>20345.240000000002</v>
      </c>
      <c r="AD62" s="20">
        <v>28517.77</v>
      </c>
      <c r="AE62" s="20">
        <v>36023.72</v>
      </c>
      <c r="AF62" s="20">
        <v>43763</v>
      </c>
      <c r="AG62" s="20">
        <v>51502.28</v>
      </c>
      <c r="AH62" s="20">
        <v>57729.67</v>
      </c>
      <c r="AI62" s="20">
        <v>63742.76</v>
      </c>
      <c r="AJ62" s="20">
        <v>69755.850000000006</v>
      </c>
    </row>
    <row r="63" spans="1:36" x14ac:dyDescent="0.2">
      <c r="A63" t="s">
        <v>618</v>
      </c>
      <c r="B63" t="s">
        <v>619</v>
      </c>
      <c r="C63" s="20">
        <v>0</v>
      </c>
      <c r="D63" s="20">
        <v>3833.33</v>
      </c>
      <c r="E63" s="20">
        <v>7586.8</v>
      </c>
      <c r="F63" s="20">
        <v>11260.41</v>
      </c>
      <c r="G63" s="20">
        <v>14854.16</v>
      </c>
      <c r="H63" s="20">
        <v>18368.05</v>
      </c>
      <c r="I63" s="20">
        <v>21708.76</v>
      </c>
      <c r="J63" s="20">
        <v>24880.63</v>
      </c>
      <c r="K63" s="20">
        <v>27976.98</v>
      </c>
      <c r="L63" s="20">
        <v>30911.01</v>
      </c>
      <c r="M63" s="20">
        <v>33602.42</v>
      </c>
      <c r="N63" s="20">
        <v>36224.82</v>
      </c>
      <c r="O63" s="20">
        <v>0</v>
      </c>
      <c r="P63" s="20">
        <v>2250</v>
      </c>
      <c r="Q63" s="20">
        <v>4437.5</v>
      </c>
      <c r="R63" s="20">
        <v>6488.72</v>
      </c>
      <c r="S63" s="20">
        <v>8479.61</v>
      </c>
      <c r="T63" s="20">
        <v>10410.17</v>
      </c>
      <c r="U63" s="20">
        <v>12280.4</v>
      </c>
      <c r="V63" s="20">
        <v>14090.3</v>
      </c>
      <c r="W63" s="20">
        <v>15839.87</v>
      </c>
      <c r="X63" s="20">
        <v>17468.34</v>
      </c>
      <c r="Y63" s="20">
        <v>18980.060000000001</v>
      </c>
      <c r="Z63" s="20">
        <v>20435.79</v>
      </c>
      <c r="AA63" s="20">
        <v>0</v>
      </c>
      <c r="AB63" s="20">
        <v>1343.75</v>
      </c>
      <c r="AC63" s="20">
        <v>2631.51</v>
      </c>
      <c r="AD63" s="20">
        <v>3863.28</v>
      </c>
      <c r="AE63" s="20">
        <v>5039.0600000000004</v>
      </c>
      <c r="AF63" s="20">
        <v>6158.85</v>
      </c>
      <c r="AG63" s="20">
        <v>7222.65</v>
      </c>
      <c r="AH63" s="20">
        <v>8230.4599999999991</v>
      </c>
      <c r="AI63" s="20">
        <v>9182.2800000000007</v>
      </c>
      <c r="AJ63" s="20">
        <v>10078.11</v>
      </c>
    </row>
    <row r="64" spans="1:36" x14ac:dyDescent="0.2">
      <c r="A64" t="s">
        <v>620</v>
      </c>
      <c r="B64" t="s">
        <v>621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</row>
    <row r="65" spans="1:36" x14ac:dyDescent="0.2">
      <c r="A65" t="s">
        <v>622</v>
      </c>
      <c r="B65" t="s">
        <v>623</v>
      </c>
      <c r="C65" s="20">
        <v>0</v>
      </c>
      <c r="D65" s="20">
        <v>9149.7999999999993</v>
      </c>
      <c r="E65" s="20">
        <v>10351.049999999999</v>
      </c>
      <c r="F65" s="20">
        <v>14695.04</v>
      </c>
      <c r="G65" s="20">
        <v>15490.64</v>
      </c>
      <c r="H65" s="20">
        <v>20125.38</v>
      </c>
      <c r="I65" s="20">
        <v>27091.919999999998</v>
      </c>
      <c r="J65" s="20">
        <v>35403.49</v>
      </c>
      <c r="K65" s="20">
        <v>39453.06</v>
      </c>
      <c r="L65" s="20">
        <v>42849.87</v>
      </c>
      <c r="M65" s="20">
        <v>43005.54</v>
      </c>
      <c r="N65" s="20">
        <v>52452.38</v>
      </c>
      <c r="O65" s="20">
        <v>0</v>
      </c>
      <c r="P65" s="20">
        <v>4090.56</v>
      </c>
      <c r="Q65" s="20">
        <v>5229.07</v>
      </c>
      <c r="R65" s="20">
        <v>14855.57</v>
      </c>
      <c r="S65" s="20">
        <v>18530.62</v>
      </c>
      <c r="T65" s="20">
        <v>28995.01</v>
      </c>
      <c r="U65" s="20">
        <v>37520.42</v>
      </c>
      <c r="V65" s="20">
        <v>45472.84</v>
      </c>
      <c r="W65" s="20">
        <v>53727.6</v>
      </c>
      <c r="X65" s="20">
        <v>58119.05</v>
      </c>
      <c r="Y65" s="20">
        <v>69879.289999999994</v>
      </c>
      <c r="Z65" s="20">
        <v>93046.58</v>
      </c>
      <c r="AA65" s="20">
        <v>0</v>
      </c>
      <c r="AB65" s="20">
        <v>8033.67</v>
      </c>
      <c r="AC65" s="20">
        <v>9560.56</v>
      </c>
      <c r="AD65" s="20">
        <v>19063.47</v>
      </c>
      <c r="AE65" s="20">
        <v>25529.68</v>
      </c>
      <c r="AF65" s="20">
        <v>37737.440000000002</v>
      </c>
      <c r="AG65" s="20">
        <v>50501.47</v>
      </c>
      <c r="AH65" s="20">
        <v>65915.53</v>
      </c>
      <c r="AI65" s="20">
        <v>79116.820000000007</v>
      </c>
      <c r="AJ65" s="20">
        <v>92289.97</v>
      </c>
    </row>
    <row r="66" spans="1:36" x14ac:dyDescent="0.2">
      <c r="A66" s="16"/>
      <c r="B66" s="16" t="s">
        <v>624</v>
      </c>
      <c r="C66" s="21">
        <f t="shared" ref="C66:AJ66" si="0">ROUND(SUM(C6:C65),2)</f>
        <v>0</v>
      </c>
      <c r="D66" s="21">
        <f t="shared" si="0"/>
        <v>0</v>
      </c>
      <c r="E66" s="21">
        <f t="shared" si="0"/>
        <v>0</v>
      </c>
      <c r="F66" s="21">
        <f t="shared" si="0"/>
        <v>0</v>
      </c>
      <c r="G66" s="21">
        <f t="shared" si="0"/>
        <v>0</v>
      </c>
      <c r="H66" s="21">
        <f t="shared" si="0"/>
        <v>0</v>
      </c>
      <c r="I66" s="21">
        <f t="shared" si="0"/>
        <v>0</v>
      </c>
      <c r="J66" s="21">
        <f t="shared" si="0"/>
        <v>0</v>
      </c>
      <c r="K66" s="21">
        <f t="shared" si="0"/>
        <v>0</v>
      </c>
      <c r="L66" s="21">
        <f t="shared" si="0"/>
        <v>0</v>
      </c>
      <c r="M66" s="21">
        <f t="shared" si="0"/>
        <v>0</v>
      </c>
      <c r="N66" s="21">
        <f t="shared" si="0"/>
        <v>0</v>
      </c>
      <c r="O66" s="21">
        <f t="shared" si="0"/>
        <v>0</v>
      </c>
      <c r="P66" s="21">
        <f t="shared" si="0"/>
        <v>0</v>
      </c>
      <c r="Q66" s="21">
        <f t="shared" si="0"/>
        <v>0</v>
      </c>
      <c r="R66" s="21">
        <f t="shared" si="0"/>
        <v>0</v>
      </c>
      <c r="S66" s="21">
        <f t="shared" si="0"/>
        <v>0</v>
      </c>
      <c r="T66" s="21">
        <f t="shared" si="0"/>
        <v>0</v>
      </c>
      <c r="U66" s="21">
        <f t="shared" si="0"/>
        <v>0</v>
      </c>
      <c r="V66" s="21">
        <f t="shared" si="0"/>
        <v>0</v>
      </c>
      <c r="W66" s="21">
        <f t="shared" si="0"/>
        <v>0</v>
      </c>
      <c r="X66" s="21">
        <f t="shared" si="0"/>
        <v>0</v>
      </c>
      <c r="Y66" s="21">
        <f t="shared" si="0"/>
        <v>0</v>
      </c>
      <c r="Z66" s="21">
        <f t="shared" si="0"/>
        <v>0</v>
      </c>
      <c r="AA66" s="21">
        <f t="shared" si="0"/>
        <v>0</v>
      </c>
      <c r="AB66" s="21">
        <f t="shared" si="0"/>
        <v>0</v>
      </c>
      <c r="AC66" s="21">
        <f t="shared" si="0"/>
        <v>0</v>
      </c>
      <c r="AD66" s="21">
        <f t="shared" si="0"/>
        <v>0</v>
      </c>
      <c r="AE66" s="21">
        <f t="shared" si="0"/>
        <v>0</v>
      </c>
      <c r="AF66" s="21">
        <f t="shared" si="0"/>
        <v>0</v>
      </c>
      <c r="AG66" s="21">
        <f t="shared" si="0"/>
        <v>0</v>
      </c>
      <c r="AH66" s="21">
        <f t="shared" si="0"/>
        <v>0</v>
      </c>
      <c r="AI66" s="21">
        <f t="shared" si="0"/>
        <v>0</v>
      </c>
      <c r="AJ66" s="21">
        <f t="shared" si="0"/>
        <v>0</v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Assumptions</vt:lpstr>
      <vt:lpstr>Drivers</vt:lpstr>
      <vt:lpstr>Forecast</vt:lpstr>
      <vt:lpstr>Scenario_Results</vt:lpstr>
      <vt:lpstr>Checks</vt:lpstr>
      <vt:lpstr>Hist_IS</vt:lpstr>
      <vt:lpstr>Hist_BS</vt:lpstr>
      <vt:lpstr>Hist_CF</vt:lpstr>
      <vt:lpstr>Hist_Balances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M</cp:lastModifiedBy>
  <dcterms:created xsi:type="dcterms:W3CDTF">2026-10-09T22:12:26Z</dcterms:created>
  <dcterms:modified xsi:type="dcterms:W3CDTF">2026-10-09T22:12:30Z</dcterms:modified>
</cp:coreProperties>
</file>